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EWAN B WAR\PhD Coursework IIIT Hyderabad\2nd Semester\GS2.401 - Spatial Informatics\Project\IGARSS 2026\After Feedback\Datasets\"/>
    </mc:Choice>
  </mc:AlternateContent>
  <xr:revisionPtr revIDLastSave="0" documentId="13_ncr:1_{A0EBB375-8434-4870-A4BD-7413FACBB0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HP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3" i="6" l="1"/>
  <c r="D54" i="6"/>
  <c r="G54" i="6"/>
  <c r="H54" i="6"/>
  <c r="D55" i="6"/>
  <c r="D71" i="6" s="1"/>
  <c r="E55" i="6"/>
  <c r="G55" i="6"/>
  <c r="H55" i="6"/>
  <c r="D56" i="6"/>
  <c r="D59" i="6"/>
  <c r="D75" i="6" s="1"/>
  <c r="E59" i="6"/>
  <c r="D60" i="6"/>
  <c r="D76" i="6" s="1"/>
  <c r="D61" i="6"/>
  <c r="D77" i="6" s="1"/>
  <c r="E61" i="6"/>
  <c r="E77" i="6" s="1"/>
  <c r="D62" i="6"/>
  <c r="D78" i="6" s="1"/>
  <c r="D63" i="6"/>
  <c r="D64" i="6"/>
  <c r="H71" i="6"/>
  <c r="I73" i="6"/>
  <c r="E75" i="6"/>
  <c r="H75" i="6"/>
  <c r="H77" i="6"/>
  <c r="K77" i="6"/>
  <c r="M79" i="6"/>
  <c r="L79" i="6"/>
  <c r="K79" i="6"/>
  <c r="H79" i="6"/>
  <c r="G77" i="6"/>
  <c r="D72" i="6"/>
  <c r="G71" i="6"/>
  <c r="D70" i="6"/>
  <c r="H69" i="6"/>
  <c r="D80" i="6"/>
  <c r="D79" i="6"/>
  <c r="L78" i="6"/>
  <c r="K78" i="6"/>
  <c r="E71" i="6"/>
  <c r="H70" i="6"/>
  <c r="G70" i="6"/>
  <c r="M31" i="6"/>
  <c r="M47" i="6" s="1"/>
  <c r="E25" i="6"/>
  <c r="D30" i="6"/>
  <c r="D29" i="6"/>
  <c r="D28" i="6"/>
  <c r="D26" i="6"/>
  <c r="D25" i="6"/>
  <c r="G79" i="6"/>
  <c r="F79" i="6"/>
  <c r="E79" i="6"/>
  <c r="H21" i="6"/>
  <c r="H20" i="6"/>
  <c r="H19" i="6"/>
  <c r="G21" i="6"/>
  <c r="G20" i="6"/>
  <c r="E27" i="6"/>
  <c r="E21" i="6"/>
  <c r="D27" i="6"/>
  <c r="D22" i="6"/>
  <c r="D21" i="6"/>
  <c r="D20" i="6"/>
  <c r="E95" i="6"/>
  <c r="E94" i="6"/>
  <c r="E93" i="6"/>
  <c r="E92" i="6"/>
  <c r="E91" i="6"/>
  <c r="E90" i="6"/>
  <c r="E89" i="6"/>
  <c r="E88" i="6"/>
  <c r="E87" i="6"/>
  <c r="E86" i="6"/>
  <c r="E85" i="6"/>
  <c r="E84" i="6"/>
  <c r="O80" i="6"/>
  <c r="O79" i="6"/>
  <c r="N79" i="6"/>
  <c r="O78" i="6"/>
  <c r="N78" i="6"/>
  <c r="M78" i="6"/>
  <c r="O77" i="6"/>
  <c r="N77" i="6"/>
  <c r="M77" i="6"/>
  <c r="L77" i="6"/>
  <c r="O76" i="6"/>
  <c r="N76" i="6"/>
  <c r="M76" i="6"/>
  <c r="L76" i="6"/>
  <c r="K76" i="6"/>
  <c r="O75" i="6"/>
  <c r="N75" i="6"/>
  <c r="M75" i="6"/>
  <c r="L75" i="6"/>
  <c r="K75" i="6"/>
  <c r="J75" i="6"/>
  <c r="O74" i="6"/>
  <c r="N74" i="6"/>
  <c r="M74" i="6"/>
  <c r="L74" i="6"/>
  <c r="K74" i="6"/>
  <c r="J74" i="6"/>
  <c r="I74" i="6"/>
  <c r="O73" i="6"/>
  <c r="N73" i="6"/>
  <c r="M73" i="6"/>
  <c r="L73" i="6"/>
  <c r="K73" i="6"/>
  <c r="J73" i="6"/>
  <c r="H73" i="6"/>
  <c r="O72" i="6"/>
  <c r="N72" i="6"/>
  <c r="M72" i="6"/>
  <c r="L72" i="6"/>
  <c r="K72" i="6"/>
  <c r="J72" i="6"/>
  <c r="I72" i="6"/>
  <c r="H72" i="6"/>
  <c r="G72" i="6"/>
  <c r="O71" i="6"/>
  <c r="N71" i="6"/>
  <c r="M71" i="6"/>
  <c r="L71" i="6"/>
  <c r="K71" i="6"/>
  <c r="J71" i="6"/>
  <c r="I71" i="6"/>
  <c r="F71" i="6"/>
  <c r="O70" i="6"/>
  <c r="N70" i="6"/>
  <c r="M70" i="6"/>
  <c r="L70" i="6"/>
  <c r="K70" i="6"/>
  <c r="J70" i="6"/>
  <c r="I70" i="6"/>
  <c r="F70" i="6"/>
  <c r="E70" i="6"/>
  <c r="O69" i="6"/>
  <c r="N69" i="6"/>
  <c r="M69" i="6"/>
  <c r="L69" i="6"/>
  <c r="K69" i="6"/>
  <c r="J69" i="6"/>
  <c r="I69" i="6"/>
  <c r="G69" i="6"/>
  <c r="F69" i="6"/>
  <c r="E69" i="6"/>
  <c r="D69" i="6"/>
  <c r="N80" i="6"/>
  <c r="M80" i="6"/>
  <c r="L80" i="6"/>
  <c r="K80" i="6"/>
  <c r="J80" i="6"/>
  <c r="I80" i="6"/>
  <c r="H80" i="6"/>
  <c r="G80" i="6"/>
  <c r="F80" i="6"/>
  <c r="E80" i="6"/>
  <c r="J79" i="6"/>
  <c r="I79" i="6"/>
  <c r="J78" i="6"/>
  <c r="I78" i="6"/>
  <c r="H78" i="6"/>
  <c r="G78" i="6"/>
  <c r="F78" i="6"/>
  <c r="E78" i="6"/>
  <c r="J77" i="6"/>
  <c r="I77" i="6"/>
  <c r="F77" i="6"/>
  <c r="J76" i="6"/>
  <c r="I76" i="6"/>
  <c r="H76" i="6"/>
  <c r="G76" i="6"/>
  <c r="F76" i="6"/>
  <c r="E76" i="6"/>
  <c r="I75" i="6"/>
  <c r="G75" i="6"/>
  <c r="F75" i="6"/>
  <c r="H74" i="6"/>
  <c r="G74" i="6"/>
  <c r="F74" i="6"/>
  <c r="E74" i="6"/>
  <c r="D74" i="6"/>
  <c r="G73" i="6"/>
  <c r="F73" i="6"/>
  <c r="E73" i="6"/>
  <c r="D73" i="6"/>
  <c r="F72" i="6"/>
  <c r="E72" i="6"/>
  <c r="U48" i="6"/>
  <c r="T48" i="6"/>
  <c r="O31" i="6"/>
  <c r="O45" i="6" s="1"/>
  <c r="O47" i="6" l="1"/>
  <c r="O46" i="6"/>
  <c r="H31" i="6"/>
  <c r="O43" i="6"/>
  <c r="O44" i="6"/>
  <c r="O42" i="6"/>
  <c r="F31" i="6"/>
  <c r="O38" i="6"/>
  <c r="E31" i="6"/>
  <c r="E97" i="6"/>
  <c r="Q69" i="6"/>
  <c r="Q76" i="6"/>
  <c r="Q75" i="6"/>
  <c r="Q73" i="6"/>
  <c r="D31" i="6"/>
  <c r="I31" i="6"/>
  <c r="I47" i="6" s="1"/>
  <c r="Q72" i="6"/>
  <c r="O36" i="6"/>
  <c r="Q71" i="6"/>
  <c r="Q80" i="6"/>
  <c r="Q70" i="6"/>
  <c r="Q78" i="6"/>
  <c r="O39" i="6"/>
  <c r="J31" i="6"/>
  <c r="G31" i="6"/>
  <c r="L31" i="6"/>
  <c r="N31" i="6"/>
  <c r="O40" i="6"/>
  <c r="Q77" i="6"/>
  <c r="Q79" i="6"/>
  <c r="Q74" i="6"/>
  <c r="K31" i="6"/>
  <c r="K47" i="6" s="1"/>
  <c r="M39" i="6"/>
  <c r="M43" i="6"/>
  <c r="M42" i="6"/>
  <c r="M38" i="6"/>
  <c r="M46" i="6"/>
  <c r="M37" i="6"/>
  <c r="M41" i="6"/>
  <c r="M45" i="6"/>
  <c r="O37" i="6"/>
  <c r="O41" i="6"/>
  <c r="M36" i="6"/>
  <c r="M40" i="6"/>
  <c r="M44" i="6"/>
  <c r="N41" i="6" l="1"/>
  <c r="N47" i="6"/>
  <c r="L41" i="6"/>
  <c r="L47" i="6"/>
  <c r="J44" i="6"/>
  <c r="J47" i="6"/>
  <c r="H39" i="6"/>
  <c r="H47" i="6"/>
  <c r="G36" i="6"/>
  <c r="G47" i="6"/>
  <c r="F45" i="6"/>
  <c r="F47" i="6"/>
  <c r="E45" i="6"/>
  <c r="E47" i="6"/>
  <c r="D43" i="6"/>
  <c r="D47" i="6"/>
  <c r="E98" i="6"/>
  <c r="E100" i="6" s="1"/>
  <c r="E101" i="6" s="1"/>
  <c r="E103" i="6" s="1"/>
  <c r="H41" i="6"/>
  <c r="H43" i="6"/>
  <c r="H42" i="6"/>
  <c r="H36" i="6"/>
  <c r="F40" i="6"/>
  <c r="F38" i="6"/>
  <c r="E44" i="6"/>
  <c r="E46" i="6"/>
  <c r="H37" i="6"/>
  <c r="E38" i="6"/>
  <c r="E37" i="6"/>
  <c r="H38" i="6"/>
  <c r="H44" i="6"/>
  <c r="J40" i="6"/>
  <c r="I42" i="6"/>
  <c r="I39" i="6"/>
  <c r="F39" i="6"/>
  <c r="I43" i="6"/>
  <c r="F37" i="6"/>
  <c r="F36" i="6"/>
  <c r="J43" i="6"/>
  <c r="F41" i="6"/>
  <c r="G44" i="6"/>
  <c r="G43" i="6"/>
  <c r="F43" i="6"/>
  <c r="F44" i="6"/>
  <c r="J39" i="6"/>
  <c r="J37" i="6"/>
  <c r="J41" i="6"/>
  <c r="J46" i="6"/>
  <c r="J42" i="6"/>
  <c r="F46" i="6"/>
  <c r="J38" i="6"/>
  <c r="H46" i="6"/>
  <c r="H40" i="6"/>
  <c r="J36" i="6"/>
  <c r="D37" i="6"/>
  <c r="N36" i="6"/>
  <c r="D36" i="6"/>
  <c r="E39" i="6"/>
  <c r="N40" i="6"/>
  <c r="D41" i="6"/>
  <c r="N44" i="6"/>
  <c r="E43" i="6"/>
  <c r="N45" i="6"/>
  <c r="L43" i="6"/>
  <c r="F42" i="6"/>
  <c r="N39" i="6"/>
  <c r="E42" i="6"/>
  <c r="E41" i="6"/>
  <c r="G40" i="6"/>
  <c r="H45" i="6"/>
  <c r="E40" i="6"/>
  <c r="E36" i="6"/>
  <c r="G39" i="6"/>
  <c r="L42" i="6"/>
  <c r="D42" i="6"/>
  <c r="I44" i="6"/>
  <c r="D44" i="6"/>
  <c r="D38" i="6"/>
  <c r="I45" i="6"/>
  <c r="L40" i="6"/>
  <c r="G41" i="6"/>
  <c r="I41" i="6"/>
  <c r="G37" i="6"/>
  <c r="L45" i="6"/>
  <c r="N46" i="6"/>
  <c r="L46" i="6"/>
  <c r="D45" i="6"/>
  <c r="L39" i="6"/>
  <c r="D46" i="6"/>
  <c r="L37" i="6"/>
  <c r="I37" i="6"/>
  <c r="D39" i="6"/>
  <c r="N43" i="6"/>
  <c r="G42" i="6"/>
  <c r="I36" i="6"/>
  <c r="L38" i="6"/>
  <c r="L36" i="6"/>
  <c r="L44" i="6"/>
  <c r="I38" i="6"/>
  <c r="N37" i="6"/>
  <c r="G46" i="6"/>
  <c r="I40" i="6"/>
  <c r="D40" i="6"/>
  <c r="G45" i="6"/>
  <c r="N38" i="6"/>
  <c r="N42" i="6"/>
  <c r="I46" i="6"/>
  <c r="G38" i="6"/>
  <c r="J45" i="6"/>
  <c r="K43" i="6"/>
  <c r="K39" i="6"/>
  <c r="K44" i="6"/>
  <c r="K40" i="6"/>
  <c r="K36" i="6"/>
  <c r="K41" i="6"/>
  <c r="K37" i="6"/>
  <c r="K46" i="6"/>
  <c r="K42" i="6"/>
  <c r="K38" i="6"/>
  <c r="K45" i="6"/>
  <c r="Q37" i="6" l="1"/>
  <c r="R37" i="6" s="1"/>
  <c r="Q36" i="6"/>
  <c r="R36" i="6" s="1"/>
  <c r="Q45" i="6"/>
  <c r="R45" i="6" s="1"/>
  <c r="Q47" i="6"/>
  <c r="R47" i="6" s="1"/>
  <c r="Q38" i="6"/>
  <c r="R38" i="6" s="1"/>
  <c r="Q42" i="6"/>
  <c r="R42" i="6" s="1"/>
  <c r="Q43" i="6"/>
  <c r="R43" i="6" s="1"/>
  <c r="Q39" i="6"/>
  <c r="R39" i="6" s="1"/>
  <c r="Q40" i="6"/>
  <c r="R40" i="6" s="1"/>
  <c r="Q41" i="6"/>
  <c r="R41" i="6" s="1"/>
  <c r="Q44" i="6"/>
  <c r="R44" i="6" s="1"/>
  <c r="Q46" i="6"/>
  <c r="R46" i="6" s="1"/>
  <c r="R48" i="6" l="1"/>
</calcChain>
</file>

<file path=xl/sharedStrings.xml><?xml version="1.0" encoding="utf-8"?>
<sst xmlns="http://schemas.openxmlformats.org/spreadsheetml/2006/main" count="227" uniqueCount="44">
  <si>
    <t>T1</t>
  </si>
  <si>
    <t>1/5.</t>
  </si>
  <si>
    <t>1/2.</t>
  </si>
  <si>
    <t>1/4.</t>
  </si>
  <si>
    <t>1/3.</t>
  </si>
  <si>
    <t>T2</t>
  </si>
  <si>
    <t>SUM</t>
  </si>
  <si>
    <t>T3</t>
  </si>
  <si>
    <t>Normalized Weightage</t>
  </si>
  <si>
    <t>Class</t>
  </si>
  <si>
    <t>T4</t>
  </si>
  <si>
    <t>T5</t>
  </si>
  <si>
    <t>T6</t>
  </si>
  <si>
    <t xml:space="preserve"> C. I.</t>
  </si>
  <si>
    <t>C. R.</t>
  </si>
  <si>
    <t>Elevation</t>
  </si>
  <si>
    <t>Slope</t>
  </si>
  <si>
    <t>Aspect</t>
  </si>
  <si>
    <t>1/6.</t>
  </si>
  <si>
    <t xml:space="preserve"> </t>
  </si>
  <si>
    <t>C. R. (%)</t>
  </si>
  <si>
    <t>LULC</t>
  </si>
  <si>
    <t>Soil_Text</t>
  </si>
  <si>
    <t>Curvature</t>
  </si>
  <si>
    <t>Rainfall</t>
  </si>
  <si>
    <t>Geomorphology</t>
  </si>
  <si>
    <t>Lineament</t>
  </si>
  <si>
    <t>Fault</t>
  </si>
  <si>
    <t>Wt. Avg. (Priority)</t>
  </si>
  <si>
    <t>Pairwise Comparison</t>
  </si>
  <si>
    <t>Wt. Sum</t>
  </si>
  <si>
    <t>Wt. Avg.</t>
  </si>
  <si>
    <t>Sum Priority</t>
  </si>
  <si>
    <t>12 factors</t>
  </si>
  <si>
    <r>
      <rPr>
        <b/>
        <sz val="11"/>
        <color theme="1"/>
        <rFont val="Calibri"/>
        <family val="2"/>
      </rPr>
      <t>λm</t>
    </r>
    <r>
      <rPr>
        <b/>
        <sz val="11"/>
        <color theme="1"/>
        <rFont val="Calibri"/>
        <family val="2"/>
        <scheme val="minor"/>
      </rPr>
      <t>ax</t>
    </r>
  </si>
  <si>
    <t>RI = 1.48</t>
  </si>
  <si>
    <t>Wt. Avg. (%)</t>
  </si>
  <si>
    <t>Consistency Calculations</t>
  </si>
  <si>
    <t>Priority Weightage Table</t>
  </si>
  <si>
    <t>Normalised Weightage x Priority Value</t>
  </si>
  <si>
    <t>Priority Value</t>
  </si>
  <si>
    <t>Lithology</t>
  </si>
  <si>
    <t>Dist. from rivers</t>
  </si>
  <si>
    <t>1/7.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</si>
</sst>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10" borderId="0" applyNumberFormat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3" fillId="10" borderId="1" xfId="1" applyFont="1" applyBorder="1" applyAlignment="1">
      <alignment horizontal="center" vertical="center"/>
    </xf>
    <xf numFmtId="0" fontId="3" fillId="0" borderId="3" xfId="1" applyFont="1" applyFill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166" fontId="3" fillId="10" borderId="1" xfId="1" applyNumberFormat="1" applyFont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13" borderId="1" xfId="0" applyNumberFormat="1" applyFill="1" applyBorder="1" applyAlignment="1">
      <alignment horizontal="center" vertical="center"/>
    </xf>
    <xf numFmtId="166" fontId="0" fillId="12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 wrapText="1"/>
    </xf>
    <xf numFmtId="166" fontId="0" fillId="11" borderId="1" xfId="0" applyNumberFormat="1" applyFill="1" applyBorder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6" fontId="0" fillId="14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49CD-646C-4E92-ABBC-98AA007812F6}">
  <dimension ref="B2:V103"/>
  <sheetViews>
    <sheetView tabSelected="1" zoomScaleNormal="100" workbookViewId="0">
      <selection activeCell="Q5" sqref="Q5"/>
    </sheetView>
  </sheetViews>
  <sheetFormatPr defaultRowHeight="15" x14ac:dyDescent="0.25"/>
  <cols>
    <col min="3" max="3" width="17.28515625" customWidth="1"/>
    <col min="4" max="5" width="8.140625" customWidth="1"/>
    <col min="7" max="7" width="9.28515625" customWidth="1"/>
    <col min="8" max="8" width="10.140625" customWidth="1"/>
    <col min="9" max="9" width="11.140625" customWidth="1"/>
    <col min="10" max="10" width="7.140625" customWidth="1"/>
    <col min="11" max="11" width="9" customWidth="1"/>
    <col min="12" max="12" width="11.42578125" customWidth="1"/>
    <col min="13" max="13" width="12.140625" customWidth="1"/>
    <col min="14" max="14" width="7.42578125" customWidth="1"/>
    <col min="15" max="15" width="10.140625" customWidth="1"/>
    <col min="17" max="17" width="10" customWidth="1"/>
    <col min="18" max="18" width="12.5703125" customWidth="1"/>
    <col min="19" max="19" width="18.140625" customWidth="1"/>
    <col min="20" max="20" width="9.140625" style="40"/>
    <col min="21" max="21" width="7.85546875" style="1" customWidth="1"/>
    <col min="22" max="22" width="15.5703125" customWidth="1"/>
  </cols>
  <sheetData>
    <row r="2" spans="2:22" x14ac:dyDescent="0.25">
      <c r="B2" s="1"/>
      <c r="C2" s="45" t="s">
        <v>29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1"/>
      <c r="Q2" s="1"/>
      <c r="R2" s="1"/>
      <c r="S2" s="1"/>
    </row>
    <row r="3" spans="2:22" x14ac:dyDescent="0.25">
      <c r="B3" s="1" t="s">
        <v>0</v>
      </c>
      <c r="C3" s="2"/>
      <c r="D3" s="2" t="s">
        <v>16</v>
      </c>
      <c r="E3" s="2" t="s">
        <v>17</v>
      </c>
      <c r="F3" s="2" t="s">
        <v>15</v>
      </c>
      <c r="G3" s="2" t="s">
        <v>23</v>
      </c>
      <c r="H3" s="2" t="s">
        <v>41</v>
      </c>
      <c r="I3" s="47" t="s">
        <v>25</v>
      </c>
      <c r="J3" s="2" t="s">
        <v>21</v>
      </c>
      <c r="K3" s="2" t="s">
        <v>24</v>
      </c>
      <c r="L3" s="48" t="s">
        <v>42</v>
      </c>
      <c r="M3" s="2" t="s">
        <v>26</v>
      </c>
      <c r="N3" s="2" t="s">
        <v>27</v>
      </c>
      <c r="O3" s="2" t="s">
        <v>22</v>
      </c>
      <c r="P3" s="1"/>
      <c r="Q3" s="1"/>
      <c r="R3" s="1"/>
      <c r="S3" s="1"/>
    </row>
    <row r="4" spans="2:22" x14ac:dyDescent="0.25">
      <c r="B4" s="1"/>
      <c r="C4" s="2" t="s">
        <v>16</v>
      </c>
      <c r="D4" s="3">
        <v>1</v>
      </c>
      <c r="E4" s="4">
        <v>6</v>
      </c>
      <c r="F4" s="4">
        <v>5</v>
      </c>
      <c r="G4" s="4">
        <v>2</v>
      </c>
      <c r="H4" s="4" t="s">
        <v>4</v>
      </c>
      <c r="I4" s="4">
        <v>3</v>
      </c>
      <c r="J4" s="4">
        <v>6</v>
      </c>
      <c r="K4" s="4">
        <v>3</v>
      </c>
      <c r="L4" s="4">
        <v>6</v>
      </c>
      <c r="M4" s="4">
        <v>4</v>
      </c>
      <c r="N4" s="4">
        <v>5</v>
      </c>
      <c r="O4" s="4">
        <v>3</v>
      </c>
      <c r="P4" s="1"/>
      <c r="Q4" s="1"/>
      <c r="R4" s="1"/>
      <c r="S4" s="1"/>
    </row>
    <row r="5" spans="2:22" x14ac:dyDescent="0.25">
      <c r="B5" s="1"/>
      <c r="C5" s="2" t="s">
        <v>17</v>
      </c>
      <c r="D5" s="4" t="s">
        <v>18</v>
      </c>
      <c r="E5" s="3">
        <v>1</v>
      </c>
      <c r="F5" s="5">
        <v>3</v>
      </c>
      <c r="G5" s="5" t="s">
        <v>4</v>
      </c>
      <c r="H5" s="5" t="s">
        <v>1</v>
      </c>
      <c r="I5" s="5" t="s">
        <v>2</v>
      </c>
      <c r="J5" s="5">
        <v>2</v>
      </c>
      <c r="K5" s="5" t="s">
        <v>1</v>
      </c>
      <c r="L5" s="5">
        <v>2</v>
      </c>
      <c r="M5" s="5" t="s">
        <v>4</v>
      </c>
      <c r="N5" s="5" t="s">
        <v>2</v>
      </c>
      <c r="O5" s="5" t="s">
        <v>2</v>
      </c>
      <c r="P5" s="1"/>
      <c r="Q5" s="1"/>
      <c r="R5" s="1"/>
      <c r="S5" s="1"/>
    </row>
    <row r="6" spans="2:22" x14ac:dyDescent="0.25">
      <c r="B6" s="1"/>
      <c r="C6" s="2" t="s">
        <v>15</v>
      </c>
      <c r="D6" s="4" t="s">
        <v>1</v>
      </c>
      <c r="E6" s="5" t="s">
        <v>4</v>
      </c>
      <c r="F6" s="3">
        <v>1</v>
      </c>
      <c r="G6" s="6" t="s">
        <v>1</v>
      </c>
      <c r="H6" s="6" t="s">
        <v>18</v>
      </c>
      <c r="I6" s="6" t="s">
        <v>3</v>
      </c>
      <c r="J6" s="6" t="s">
        <v>2</v>
      </c>
      <c r="K6" s="6" t="s">
        <v>1</v>
      </c>
      <c r="L6" s="6">
        <v>3</v>
      </c>
      <c r="M6" s="6" t="s">
        <v>4</v>
      </c>
      <c r="N6" s="6" t="s">
        <v>2</v>
      </c>
      <c r="O6" s="6" t="s">
        <v>2</v>
      </c>
      <c r="P6" s="1"/>
      <c r="Q6" s="1"/>
      <c r="R6" s="1"/>
      <c r="S6" s="1"/>
    </row>
    <row r="7" spans="2:22" x14ac:dyDescent="0.25">
      <c r="B7" s="1"/>
      <c r="C7" s="2" t="s">
        <v>23</v>
      </c>
      <c r="D7" s="4" t="s">
        <v>2</v>
      </c>
      <c r="E7" s="5">
        <v>3</v>
      </c>
      <c r="F7" s="6">
        <v>5</v>
      </c>
      <c r="G7" s="3">
        <v>1</v>
      </c>
      <c r="H7" s="11" t="s">
        <v>2</v>
      </c>
      <c r="I7" s="11">
        <v>5</v>
      </c>
      <c r="J7" s="11">
        <v>6</v>
      </c>
      <c r="K7" s="11">
        <v>3</v>
      </c>
      <c r="L7" s="11">
        <v>6</v>
      </c>
      <c r="M7" s="11">
        <v>5</v>
      </c>
      <c r="N7" s="11">
        <v>7</v>
      </c>
      <c r="O7" s="11">
        <v>7</v>
      </c>
      <c r="P7" s="1"/>
      <c r="Q7" s="1"/>
      <c r="R7" s="1"/>
      <c r="S7" s="1"/>
    </row>
    <row r="8" spans="2:22" x14ac:dyDescent="0.25">
      <c r="B8" s="1"/>
      <c r="C8" s="2" t="s">
        <v>41</v>
      </c>
      <c r="D8" s="4">
        <v>3</v>
      </c>
      <c r="E8" s="5">
        <v>5</v>
      </c>
      <c r="F8" s="6">
        <v>6</v>
      </c>
      <c r="G8" s="11">
        <v>2</v>
      </c>
      <c r="H8" s="3">
        <v>1</v>
      </c>
      <c r="I8" s="12">
        <v>5</v>
      </c>
      <c r="J8" s="12">
        <v>7</v>
      </c>
      <c r="K8" s="12">
        <v>2</v>
      </c>
      <c r="L8" s="12">
        <v>6</v>
      </c>
      <c r="M8" s="12">
        <v>5</v>
      </c>
      <c r="N8" s="12">
        <v>7</v>
      </c>
      <c r="O8" s="12">
        <v>7</v>
      </c>
      <c r="P8" s="1"/>
      <c r="Q8" s="1"/>
      <c r="R8" s="1"/>
      <c r="S8" s="1"/>
    </row>
    <row r="9" spans="2:22" x14ac:dyDescent="0.25">
      <c r="B9" s="1"/>
      <c r="C9" s="43" t="s">
        <v>25</v>
      </c>
      <c r="D9" s="4" t="s">
        <v>4</v>
      </c>
      <c r="E9" s="5">
        <v>2</v>
      </c>
      <c r="F9" s="6">
        <v>4</v>
      </c>
      <c r="G9" s="11" t="s">
        <v>1</v>
      </c>
      <c r="H9" s="12" t="s">
        <v>1</v>
      </c>
      <c r="I9" s="3">
        <v>1</v>
      </c>
      <c r="J9" s="4">
        <v>2</v>
      </c>
      <c r="K9" s="13" t="s">
        <v>4</v>
      </c>
      <c r="L9" s="4">
        <v>2</v>
      </c>
      <c r="M9" s="4" t="s">
        <v>4</v>
      </c>
      <c r="N9" s="4">
        <v>2</v>
      </c>
      <c r="O9" s="4">
        <v>2</v>
      </c>
      <c r="P9" s="1"/>
      <c r="Q9" s="1"/>
      <c r="R9" s="1"/>
      <c r="S9" s="1"/>
    </row>
    <row r="10" spans="2:22" x14ac:dyDescent="0.25">
      <c r="B10" s="1"/>
      <c r="C10" s="2" t="s">
        <v>21</v>
      </c>
      <c r="D10" s="4" t="s">
        <v>18</v>
      </c>
      <c r="E10" s="5" t="s">
        <v>2</v>
      </c>
      <c r="F10" s="6">
        <v>2</v>
      </c>
      <c r="G10" s="11" t="s">
        <v>18</v>
      </c>
      <c r="H10" s="12" t="s">
        <v>43</v>
      </c>
      <c r="I10" s="4" t="s">
        <v>2</v>
      </c>
      <c r="J10" s="3">
        <v>1</v>
      </c>
      <c r="K10" s="5" t="s">
        <v>1</v>
      </c>
      <c r="L10" s="5">
        <v>2</v>
      </c>
      <c r="M10" s="5" t="s">
        <v>3</v>
      </c>
      <c r="N10" s="5" t="s">
        <v>2</v>
      </c>
      <c r="O10" s="5" t="s">
        <v>2</v>
      </c>
      <c r="P10" s="1"/>
      <c r="Q10" s="1"/>
      <c r="R10" s="1"/>
      <c r="S10" s="1"/>
    </row>
    <row r="11" spans="2:22" x14ac:dyDescent="0.25">
      <c r="B11" s="1"/>
      <c r="C11" s="2" t="s">
        <v>24</v>
      </c>
      <c r="D11" s="4" t="s">
        <v>4</v>
      </c>
      <c r="E11" s="5">
        <v>5</v>
      </c>
      <c r="F11" s="6">
        <v>5</v>
      </c>
      <c r="G11" s="11" t="s">
        <v>4</v>
      </c>
      <c r="H11" s="12" t="s">
        <v>2</v>
      </c>
      <c r="I11" s="4">
        <v>3</v>
      </c>
      <c r="J11" s="5">
        <v>5</v>
      </c>
      <c r="K11" s="3">
        <v>1</v>
      </c>
      <c r="L11" s="6">
        <v>5</v>
      </c>
      <c r="M11" s="6">
        <v>2</v>
      </c>
      <c r="N11" s="6">
        <v>4</v>
      </c>
      <c r="O11" s="6">
        <v>4</v>
      </c>
      <c r="P11" s="1"/>
      <c r="Q11" s="1"/>
      <c r="R11" s="1"/>
      <c r="S11" s="1"/>
    </row>
    <row r="12" spans="2:22" x14ac:dyDescent="0.25">
      <c r="B12" s="1"/>
      <c r="C12" s="2" t="s">
        <v>42</v>
      </c>
      <c r="D12" s="4" t="s">
        <v>18</v>
      </c>
      <c r="E12" s="5" t="s">
        <v>2</v>
      </c>
      <c r="F12" s="6" t="s">
        <v>4</v>
      </c>
      <c r="G12" s="11" t="s">
        <v>18</v>
      </c>
      <c r="H12" s="12" t="s">
        <v>18</v>
      </c>
      <c r="I12" s="4" t="s">
        <v>2</v>
      </c>
      <c r="J12" s="5" t="s">
        <v>2</v>
      </c>
      <c r="K12" s="6" t="s">
        <v>1</v>
      </c>
      <c r="L12" s="3">
        <v>1</v>
      </c>
      <c r="M12" s="11" t="s">
        <v>4</v>
      </c>
      <c r="N12" s="11" t="s">
        <v>2</v>
      </c>
      <c r="O12" s="11" t="s">
        <v>4</v>
      </c>
      <c r="P12" s="1"/>
      <c r="Q12" s="1"/>
      <c r="R12" s="1"/>
      <c r="S12" s="1"/>
    </row>
    <row r="13" spans="2:22" x14ac:dyDescent="0.25">
      <c r="C13" s="2" t="s">
        <v>26</v>
      </c>
      <c r="D13" s="4" t="s">
        <v>3</v>
      </c>
      <c r="E13" s="5">
        <v>3</v>
      </c>
      <c r="F13" s="6">
        <v>3</v>
      </c>
      <c r="G13" s="11" t="s">
        <v>1</v>
      </c>
      <c r="H13" s="12" t="s">
        <v>1</v>
      </c>
      <c r="I13" s="4">
        <v>3</v>
      </c>
      <c r="J13" s="5">
        <v>4</v>
      </c>
      <c r="K13" s="6" t="s">
        <v>2</v>
      </c>
      <c r="L13" s="11">
        <v>3</v>
      </c>
      <c r="M13" s="3">
        <v>1</v>
      </c>
      <c r="N13" s="12">
        <v>4</v>
      </c>
      <c r="O13" s="12">
        <v>2</v>
      </c>
      <c r="P13" s="1"/>
      <c r="Q13" s="1"/>
      <c r="R13" s="1"/>
      <c r="S13" s="1"/>
      <c r="U13" s="8"/>
      <c r="V13" s="17"/>
    </row>
    <row r="14" spans="2:22" x14ac:dyDescent="0.25">
      <c r="B14" s="1"/>
      <c r="C14" s="2" t="s">
        <v>27</v>
      </c>
      <c r="D14" s="4" t="s">
        <v>1</v>
      </c>
      <c r="E14" s="5">
        <v>2</v>
      </c>
      <c r="F14" s="6">
        <v>2</v>
      </c>
      <c r="G14" s="11" t="s">
        <v>43</v>
      </c>
      <c r="H14" s="12" t="s">
        <v>43</v>
      </c>
      <c r="I14" s="4" t="s">
        <v>2</v>
      </c>
      <c r="J14" s="5">
        <v>2</v>
      </c>
      <c r="K14" s="6" t="s">
        <v>3</v>
      </c>
      <c r="L14" s="11">
        <v>2</v>
      </c>
      <c r="M14" s="12" t="s">
        <v>3</v>
      </c>
      <c r="N14" s="3">
        <v>1</v>
      </c>
      <c r="O14" s="4" t="s">
        <v>4</v>
      </c>
      <c r="P14" s="1"/>
      <c r="Q14" s="1"/>
      <c r="R14" s="1"/>
      <c r="S14" s="1"/>
      <c r="U14" s="8"/>
      <c r="V14" s="8"/>
    </row>
    <row r="15" spans="2:22" x14ac:dyDescent="0.25">
      <c r="B15" s="1"/>
      <c r="C15" s="2" t="s">
        <v>22</v>
      </c>
      <c r="D15" s="4" t="s">
        <v>4</v>
      </c>
      <c r="E15" s="5">
        <v>2</v>
      </c>
      <c r="F15" s="6">
        <v>2</v>
      </c>
      <c r="G15" s="11" t="s">
        <v>43</v>
      </c>
      <c r="H15" s="12" t="s">
        <v>43</v>
      </c>
      <c r="I15" s="4" t="s">
        <v>2</v>
      </c>
      <c r="J15" s="5">
        <v>2</v>
      </c>
      <c r="K15" s="6" t="s">
        <v>3</v>
      </c>
      <c r="L15" s="11">
        <v>3</v>
      </c>
      <c r="M15" s="12" t="s">
        <v>2</v>
      </c>
      <c r="N15" s="4">
        <v>3</v>
      </c>
      <c r="O15" s="3">
        <v>1</v>
      </c>
      <c r="P15" s="1"/>
      <c r="Q15" s="1"/>
      <c r="R15" s="1"/>
      <c r="S15" s="1"/>
      <c r="U15" s="16"/>
      <c r="V15" s="1"/>
    </row>
    <row r="16" spans="2:22" x14ac:dyDescent="0.25">
      <c r="B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U16" s="16"/>
      <c r="V16" s="1"/>
    </row>
    <row r="17" spans="2:22" x14ac:dyDescent="0.25">
      <c r="B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U17" s="16"/>
      <c r="V17" s="1"/>
    </row>
    <row r="18" spans="2:22" x14ac:dyDescent="0.25">
      <c r="B18" s="1" t="s">
        <v>5</v>
      </c>
      <c r="C18" s="2"/>
      <c r="D18" s="2" t="s">
        <v>16</v>
      </c>
      <c r="E18" s="2" t="s">
        <v>17</v>
      </c>
      <c r="F18" s="2" t="s">
        <v>15</v>
      </c>
      <c r="G18" s="2" t="s">
        <v>23</v>
      </c>
      <c r="H18" s="2" t="s">
        <v>41</v>
      </c>
      <c r="I18" s="48" t="s">
        <v>25</v>
      </c>
      <c r="J18" s="2" t="s">
        <v>21</v>
      </c>
      <c r="K18" s="2" t="s">
        <v>24</v>
      </c>
      <c r="L18" s="48" t="s">
        <v>42</v>
      </c>
      <c r="M18" s="2" t="s">
        <v>26</v>
      </c>
      <c r="N18" s="2" t="s">
        <v>27</v>
      </c>
      <c r="O18" s="2" t="s">
        <v>22</v>
      </c>
      <c r="P18" s="1"/>
      <c r="Q18" s="1"/>
      <c r="R18" s="1"/>
      <c r="S18" s="1"/>
      <c r="U18" s="16"/>
      <c r="V18" s="1"/>
    </row>
    <row r="19" spans="2:22" x14ac:dyDescent="0.25">
      <c r="B19" s="1"/>
      <c r="C19" s="2" t="s">
        <v>16</v>
      </c>
      <c r="D19" s="22">
        <v>1</v>
      </c>
      <c r="E19" s="23">
        <v>6</v>
      </c>
      <c r="F19" s="23">
        <v>5</v>
      </c>
      <c r="G19" s="23">
        <v>2</v>
      </c>
      <c r="H19" s="23">
        <f>1/3</f>
        <v>0.33333333333333331</v>
      </c>
      <c r="I19" s="23">
        <v>3</v>
      </c>
      <c r="J19" s="23">
        <v>6</v>
      </c>
      <c r="K19" s="23">
        <v>3</v>
      </c>
      <c r="L19" s="23">
        <v>6</v>
      </c>
      <c r="M19" s="23">
        <v>4</v>
      </c>
      <c r="N19" s="23">
        <v>5</v>
      </c>
      <c r="O19" s="23">
        <v>3</v>
      </c>
      <c r="P19" s="1"/>
      <c r="Q19" s="1"/>
      <c r="R19" s="1"/>
      <c r="S19" s="1"/>
      <c r="U19" s="16"/>
      <c r="V19" s="1"/>
    </row>
    <row r="20" spans="2:22" x14ac:dyDescent="0.25">
      <c r="B20" s="1"/>
      <c r="C20" s="2" t="s">
        <v>17</v>
      </c>
      <c r="D20" s="23">
        <f>1/6</f>
        <v>0.16666666666666666</v>
      </c>
      <c r="E20" s="22">
        <v>1</v>
      </c>
      <c r="F20" s="24">
        <v>3</v>
      </c>
      <c r="G20" s="24">
        <f>1/3</f>
        <v>0.33333333333333331</v>
      </c>
      <c r="H20" s="24">
        <f>1/5</f>
        <v>0.2</v>
      </c>
      <c r="I20" s="24">
        <v>0.5</v>
      </c>
      <c r="J20" s="24">
        <v>2</v>
      </c>
      <c r="K20" s="24">
        <v>0.2</v>
      </c>
      <c r="L20" s="24">
        <v>2</v>
      </c>
      <c r="M20" s="24">
        <v>0.33333333333333331</v>
      </c>
      <c r="N20" s="24">
        <v>0.5</v>
      </c>
      <c r="O20" s="24">
        <v>0.5</v>
      </c>
      <c r="P20" s="1"/>
      <c r="Q20" s="1"/>
      <c r="R20" s="1"/>
      <c r="S20" s="1"/>
      <c r="U20" s="16"/>
      <c r="V20" s="1"/>
    </row>
    <row r="21" spans="2:22" x14ac:dyDescent="0.25">
      <c r="B21" s="1"/>
      <c r="C21" s="2" t="s">
        <v>15</v>
      </c>
      <c r="D21" s="23">
        <f>1/5</f>
        <v>0.2</v>
      </c>
      <c r="E21" s="24">
        <f>1/3</f>
        <v>0.33333333333333331</v>
      </c>
      <c r="F21" s="22">
        <v>1</v>
      </c>
      <c r="G21" s="25">
        <f>1/5</f>
        <v>0.2</v>
      </c>
      <c r="H21" s="25">
        <f>1/6</f>
        <v>0.16666666666666666</v>
      </c>
      <c r="I21" s="25">
        <v>0.25</v>
      </c>
      <c r="J21" s="25">
        <v>0.5</v>
      </c>
      <c r="K21" s="25">
        <v>0.2</v>
      </c>
      <c r="L21" s="25">
        <v>3</v>
      </c>
      <c r="M21" s="25">
        <v>0.33333333333333331</v>
      </c>
      <c r="N21" s="25">
        <v>0.5</v>
      </c>
      <c r="O21" s="25">
        <v>0.5</v>
      </c>
      <c r="P21" s="1"/>
      <c r="Q21" s="1"/>
      <c r="R21" s="1"/>
      <c r="S21" s="1"/>
      <c r="U21" s="16"/>
      <c r="V21" s="1"/>
    </row>
    <row r="22" spans="2:22" x14ac:dyDescent="0.25">
      <c r="B22" s="1"/>
      <c r="C22" s="2" t="s">
        <v>23</v>
      </c>
      <c r="D22" s="23">
        <f>1/2</f>
        <v>0.5</v>
      </c>
      <c r="E22" s="24">
        <v>3</v>
      </c>
      <c r="F22" s="25">
        <v>5</v>
      </c>
      <c r="G22" s="22">
        <v>1</v>
      </c>
      <c r="H22" s="26">
        <v>0.5</v>
      </c>
      <c r="I22" s="26">
        <v>5</v>
      </c>
      <c r="J22" s="26">
        <v>6</v>
      </c>
      <c r="K22" s="26">
        <v>3</v>
      </c>
      <c r="L22" s="26">
        <v>6</v>
      </c>
      <c r="M22" s="26">
        <v>5</v>
      </c>
      <c r="N22" s="26">
        <v>7</v>
      </c>
      <c r="O22" s="26">
        <v>7</v>
      </c>
      <c r="P22" s="1"/>
      <c r="Q22" s="1"/>
      <c r="R22" s="1"/>
      <c r="S22" s="1"/>
      <c r="U22" s="16"/>
    </row>
    <row r="23" spans="2:22" x14ac:dyDescent="0.25">
      <c r="B23" s="1"/>
      <c r="C23" s="2" t="s">
        <v>41</v>
      </c>
      <c r="D23" s="23">
        <v>3</v>
      </c>
      <c r="E23" s="24">
        <v>5</v>
      </c>
      <c r="F23" s="25">
        <v>6</v>
      </c>
      <c r="G23" s="26">
        <v>2</v>
      </c>
      <c r="H23" s="22">
        <v>1</v>
      </c>
      <c r="I23" s="27">
        <v>5</v>
      </c>
      <c r="J23" s="27">
        <v>7</v>
      </c>
      <c r="K23" s="27">
        <v>2</v>
      </c>
      <c r="L23" s="27">
        <v>6</v>
      </c>
      <c r="M23" s="27">
        <v>5</v>
      </c>
      <c r="N23" s="27">
        <v>7</v>
      </c>
      <c r="O23" s="27">
        <v>7</v>
      </c>
      <c r="P23" s="1"/>
      <c r="Q23" s="1"/>
      <c r="R23" s="1"/>
      <c r="S23" s="1"/>
    </row>
    <row r="24" spans="2:22" x14ac:dyDescent="0.25">
      <c r="B24" s="1"/>
      <c r="C24" s="43" t="s">
        <v>25</v>
      </c>
      <c r="D24" s="23">
        <v>0.33333333333333331</v>
      </c>
      <c r="E24" s="24">
        <v>2</v>
      </c>
      <c r="F24" s="25">
        <v>4</v>
      </c>
      <c r="G24" s="26">
        <v>0.2</v>
      </c>
      <c r="H24" s="27">
        <v>0.2</v>
      </c>
      <c r="I24" s="22">
        <v>1</v>
      </c>
      <c r="J24" s="23">
        <v>2</v>
      </c>
      <c r="K24" s="23">
        <v>0.33333333333333331</v>
      </c>
      <c r="L24" s="23">
        <v>2</v>
      </c>
      <c r="M24" s="23">
        <v>0.33333333333333331</v>
      </c>
      <c r="N24" s="23">
        <v>2</v>
      </c>
      <c r="O24" s="23">
        <v>2</v>
      </c>
      <c r="P24" s="1"/>
      <c r="Q24" s="1"/>
      <c r="R24" s="1"/>
      <c r="S24" s="1"/>
    </row>
    <row r="25" spans="2:22" x14ac:dyDescent="0.25">
      <c r="B25" s="1"/>
      <c r="C25" s="2" t="s">
        <v>21</v>
      </c>
      <c r="D25" s="23">
        <f>1/6</f>
        <v>0.16666666666666666</v>
      </c>
      <c r="E25" s="24">
        <f>1/2</f>
        <v>0.5</v>
      </c>
      <c r="F25" s="25">
        <v>2</v>
      </c>
      <c r="G25" s="26">
        <v>0.16666666666666666</v>
      </c>
      <c r="H25" s="27">
        <v>0.14285714285714285</v>
      </c>
      <c r="I25" s="23">
        <v>0.5</v>
      </c>
      <c r="J25" s="22">
        <v>1</v>
      </c>
      <c r="K25" s="24">
        <v>0.2</v>
      </c>
      <c r="L25" s="24">
        <v>2</v>
      </c>
      <c r="M25" s="24">
        <v>0.25</v>
      </c>
      <c r="N25" s="24">
        <v>0.5</v>
      </c>
      <c r="O25" s="24">
        <v>0.5</v>
      </c>
      <c r="P25" s="1"/>
      <c r="Q25" s="1"/>
      <c r="R25" s="1"/>
      <c r="S25" s="1"/>
    </row>
    <row r="26" spans="2:22" ht="14.25" customHeight="1" x14ac:dyDescent="0.25">
      <c r="B26" s="1"/>
      <c r="C26" s="2" t="s">
        <v>24</v>
      </c>
      <c r="D26" s="23">
        <f>1/3</f>
        <v>0.33333333333333331</v>
      </c>
      <c r="E26" s="24">
        <v>5</v>
      </c>
      <c r="F26" s="25">
        <v>5</v>
      </c>
      <c r="G26" s="26">
        <v>0.33333333333333331</v>
      </c>
      <c r="H26" s="27">
        <v>0.5</v>
      </c>
      <c r="I26" s="23">
        <v>3</v>
      </c>
      <c r="J26" s="24">
        <v>5</v>
      </c>
      <c r="K26" s="22">
        <v>1</v>
      </c>
      <c r="L26" s="25">
        <v>5</v>
      </c>
      <c r="M26" s="25">
        <v>2</v>
      </c>
      <c r="N26" s="25">
        <v>4</v>
      </c>
      <c r="O26" s="25">
        <v>4</v>
      </c>
      <c r="P26" s="1"/>
      <c r="Q26" s="1"/>
      <c r="R26" s="1"/>
      <c r="S26" s="1"/>
    </row>
    <row r="27" spans="2:22" x14ac:dyDescent="0.25">
      <c r="B27" s="1"/>
      <c r="C27" s="2" t="s">
        <v>42</v>
      </c>
      <c r="D27" s="23">
        <f>1/6</f>
        <v>0.16666666666666666</v>
      </c>
      <c r="E27" s="24">
        <f>1/2</f>
        <v>0.5</v>
      </c>
      <c r="F27" s="25">
        <v>0.33333333333333331</v>
      </c>
      <c r="G27" s="26">
        <v>0.16666666666666666</v>
      </c>
      <c r="H27" s="27">
        <v>0.16666666666666666</v>
      </c>
      <c r="I27" s="23">
        <v>0.5</v>
      </c>
      <c r="J27" s="24">
        <v>0.5</v>
      </c>
      <c r="K27" s="25">
        <v>0.2</v>
      </c>
      <c r="L27" s="22">
        <v>1</v>
      </c>
      <c r="M27" s="26">
        <v>0.33333333333333331</v>
      </c>
      <c r="N27" s="26">
        <v>0.5</v>
      </c>
      <c r="O27" s="26">
        <v>0.33333333333333331</v>
      </c>
      <c r="P27" s="1"/>
      <c r="Q27" s="1"/>
      <c r="R27" s="1"/>
      <c r="S27" s="1"/>
    </row>
    <row r="28" spans="2:22" x14ac:dyDescent="0.25">
      <c r="C28" s="2" t="s">
        <v>26</v>
      </c>
      <c r="D28" s="23">
        <f>1/4</f>
        <v>0.25</v>
      </c>
      <c r="E28" s="24">
        <v>3</v>
      </c>
      <c r="F28" s="25">
        <v>3</v>
      </c>
      <c r="G28" s="26">
        <v>0.2</v>
      </c>
      <c r="H28" s="27">
        <v>0.2</v>
      </c>
      <c r="I28" s="23">
        <v>3</v>
      </c>
      <c r="J28" s="24">
        <v>4</v>
      </c>
      <c r="K28" s="25">
        <v>0.5</v>
      </c>
      <c r="L28" s="26">
        <v>3</v>
      </c>
      <c r="M28" s="22">
        <v>1</v>
      </c>
      <c r="N28" s="27">
        <v>4</v>
      </c>
      <c r="O28" s="27">
        <v>2</v>
      </c>
      <c r="P28" s="1"/>
      <c r="Q28" s="1"/>
      <c r="R28" s="1"/>
      <c r="S28" s="1"/>
    </row>
    <row r="29" spans="2:22" x14ac:dyDescent="0.25">
      <c r="B29" s="1"/>
      <c r="C29" s="2" t="s">
        <v>27</v>
      </c>
      <c r="D29" s="23">
        <f>1/5</f>
        <v>0.2</v>
      </c>
      <c r="E29" s="24">
        <v>2</v>
      </c>
      <c r="F29" s="25">
        <v>2</v>
      </c>
      <c r="G29" s="26">
        <v>0.14285714285714285</v>
      </c>
      <c r="H29" s="27">
        <v>0.14285714285714285</v>
      </c>
      <c r="I29" s="23">
        <v>0.5</v>
      </c>
      <c r="J29" s="24">
        <v>2</v>
      </c>
      <c r="K29" s="25">
        <v>0.25</v>
      </c>
      <c r="L29" s="26">
        <v>2</v>
      </c>
      <c r="M29" s="27">
        <v>0.25</v>
      </c>
      <c r="N29" s="22">
        <v>1</v>
      </c>
      <c r="O29" s="23">
        <v>0.33333333333333331</v>
      </c>
      <c r="P29" s="1"/>
      <c r="Q29" s="1"/>
      <c r="R29" s="1"/>
      <c r="S29" s="1"/>
    </row>
    <row r="30" spans="2:22" x14ac:dyDescent="0.25">
      <c r="B30" s="1"/>
      <c r="C30" s="2" t="s">
        <v>22</v>
      </c>
      <c r="D30" s="23">
        <f>1/3</f>
        <v>0.33333333333333331</v>
      </c>
      <c r="E30" s="24">
        <v>2</v>
      </c>
      <c r="F30" s="25">
        <v>2</v>
      </c>
      <c r="G30" s="26">
        <v>0.14285714285714285</v>
      </c>
      <c r="H30" s="27">
        <v>0.14285714285714285</v>
      </c>
      <c r="I30" s="23">
        <v>0.5</v>
      </c>
      <c r="J30" s="24">
        <v>2</v>
      </c>
      <c r="K30" s="25">
        <v>0.25</v>
      </c>
      <c r="L30" s="26">
        <v>3</v>
      </c>
      <c r="M30" s="27">
        <v>0.5</v>
      </c>
      <c r="N30" s="23">
        <v>3</v>
      </c>
      <c r="O30" s="22">
        <v>1</v>
      </c>
      <c r="P30" s="1"/>
      <c r="Q30" s="1"/>
      <c r="R30" s="1"/>
      <c r="S30" s="1"/>
    </row>
    <row r="31" spans="2:22" x14ac:dyDescent="0.25">
      <c r="B31" s="1"/>
      <c r="C31" s="14" t="s">
        <v>6</v>
      </c>
      <c r="D31" s="28">
        <f t="shared" ref="D31:O31" si="0">SUM(D19:D30)</f>
        <v>6.65</v>
      </c>
      <c r="E31" s="28">
        <f t="shared" si="0"/>
        <v>30.333333333333332</v>
      </c>
      <c r="F31" s="28">
        <f t="shared" si="0"/>
        <v>38.333333333333329</v>
      </c>
      <c r="G31" s="28">
        <f t="shared" si="0"/>
        <v>6.885714285714287</v>
      </c>
      <c r="H31" s="28">
        <f t="shared" si="0"/>
        <v>3.6952380952380954</v>
      </c>
      <c r="I31" s="28">
        <f t="shared" si="0"/>
        <v>22.75</v>
      </c>
      <c r="J31" s="28">
        <f t="shared" si="0"/>
        <v>38</v>
      </c>
      <c r="K31" s="28">
        <f t="shared" si="0"/>
        <v>11.133333333333333</v>
      </c>
      <c r="L31" s="28">
        <f t="shared" si="0"/>
        <v>41</v>
      </c>
      <c r="M31" s="28">
        <f t="shared" si="0"/>
        <v>19.333333333333332</v>
      </c>
      <c r="N31" s="28">
        <f t="shared" si="0"/>
        <v>35</v>
      </c>
      <c r="O31" s="28">
        <f t="shared" si="0"/>
        <v>28.166666666666664</v>
      </c>
      <c r="P31" s="1"/>
      <c r="Q31" s="1"/>
      <c r="R31" s="1"/>
      <c r="S31" s="1"/>
    </row>
    <row r="32" spans="2:22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2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21" x14ac:dyDescent="0.25">
      <c r="B34" s="1"/>
      <c r="C34" s="45" t="s">
        <v>8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1"/>
      <c r="Q34" s="46" t="s">
        <v>38</v>
      </c>
      <c r="R34" s="46"/>
      <c r="S34" s="46"/>
    </row>
    <row r="35" spans="2:21" x14ac:dyDescent="0.25">
      <c r="B35" s="1" t="s">
        <v>7</v>
      </c>
      <c r="C35" s="2"/>
      <c r="D35" s="2" t="s">
        <v>16</v>
      </c>
      <c r="E35" s="2" t="s">
        <v>17</v>
      </c>
      <c r="F35" s="2" t="s">
        <v>15</v>
      </c>
      <c r="G35" s="2" t="s">
        <v>23</v>
      </c>
      <c r="H35" s="2" t="s">
        <v>41</v>
      </c>
      <c r="I35" s="48" t="s">
        <v>25</v>
      </c>
      <c r="J35" s="2" t="s">
        <v>21</v>
      </c>
      <c r="K35" s="2" t="s">
        <v>24</v>
      </c>
      <c r="L35" s="48" t="s">
        <v>42</v>
      </c>
      <c r="M35" s="2" t="s">
        <v>26</v>
      </c>
      <c r="N35" s="2" t="s">
        <v>27</v>
      </c>
      <c r="O35" s="2" t="s">
        <v>22</v>
      </c>
      <c r="P35" s="1"/>
      <c r="Q35" s="10" t="s">
        <v>31</v>
      </c>
      <c r="R35" s="10" t="s">
        <v>36</v>
      </c>
      <c r="S35" s="10" t="s">
        <v>9</v>
      </c>
    </row>
    <row r="36" spans="2:21" x14ac:dyDescent="0.25">
      <c r="B36" s="1"/>
      <c r="C36" s="2" t="s">
        <v>16</v>
      </c>
      <c r="D36" s="22">
        <f t="shared" ref="D36:O36" si="1">D19/D31</f>
        <v>0.15037593984962405</v>
      </c>
      <c r="E36" s="23">
        <f t="shared" si="1"/>
        <v>0.19780219780219782</v>
      </c>
      <c r="F36" s="23">
        <f t="shared" si="1"/>
        <v>0.13043478260869568</v>
      </c>
      <c r="G36" s="23">
        <f t="shared" si="1"/>
        <v>0.29045643153526968</v>
      </c>
      <c r="H36" s="23">
        <f t="shared" si="1"/>
        <v>9.0206185567010294E-2</v>
      </c>
      <c r="I36" s="23">
        <f t="shared" si="1"/>
        <v>0.13186813186813187</v>
      </c>
      <c r="J36" s="23">
        <f t="shared" si="1"/>
        <v>0.15789473684210525</v>
      </c>
      <c r="K36" s="23">
        <f t="shared" si="1"/>
        <v>0.26946107784431139</v>
      </c>
      <c r="L36" s="23">
        <f t="shared" si="1"/>
        <v>0.14634146341463414</v>
      </c>
      <c r="M36" s="23">
        <f t="shared" si="1"/>
        <v>0.20689655172413796</v>
      </c>
      <c r="N36" s="23">
        <f t="shared" si="1"/>
        <v>0.14285714285714285</v>
      </c>
      <c r="O36" s="23">
        <f t="shared" si="1"/>
        <v>0.10650887573964497</v>
      </c>
      <c r="P36" s="1"/>
      <c r="Q36" s="30">
        <f t="shared" ref="Q36:Q47" si="2">AVERAGE(D36:O36)</f>
        <v>0.16842529313774213</v>
      </c>
      <c r="R36" s="30">
        <f>Q36*100</f>
        <v>16.842529313774214</v>
      </c>
      <c r="S36" s="7" t="s">
        <v>16</v>
      </c>
      <c r="T36" s="44">
        <v>16.842529313774214</v>
      </c>
      <c r="U36" s="31">
        <v>0.16842529313774213</v>
      </c>
    </row>
    <row r="37" spans="2:21" x14ac:dyDescent="0.25">
      <c r="B37" s="1"/>
      <c r="C37" s="2" t="s">
        <v>17</v>
      </c>
      <c r="D37" s="29">
        <f t="shared" ref="D37:O37" si="3">D20/D31</f>
        <v>2.5062656641604009E-2</v>
      </c>
      <c r="E37" s="22">
        <f t="shared" si="3"/>
        <v>3.2967032967032968E-2</v>
      </c>
      <c r="F37" s="24">
        <f t="shared" si="3"/>
        <v>7.8260869565217397E-2</v>
      </c>
      <c r="G37" s="24">
        <f t="shared" si="3"/>
        <v>4.8409405255878273E-2</v>
      </c>
      <c r="H37" s="24">
        <f t="shared" si="3"/>
        <v>5.4123711340206188E-2</v>
      </c>
      <c r="I37" s="24">
        <f t="shared" si="3"/>
        <v>2.197802197802198E-2</v>
      </c>
      <c r="J37" s="24">
        <f t="shared" si="3"/>
        <v>5.2631578947368418E-2</v>
      </c>
      <c r="K37" s="24">
        <f t="shared" si="3"/>
        <v>1.7964071856287428E-2</v>
      </c>
      <c r="L37" s="24">
        <f t="shared" si="3"/>
        <v>4.878048780487805E-2</v>
      </c>
      <c r="M37" s="24">
        <f t="shared" si="3"/>
        <v>1.7241379310344827E-2</v>
      </c>
      <c r="N37" s="24">
        <f t="shared" si="3"/>
        <v>1.4285714285714285E-2</v>
      </c>
      <c r="O37" s="24">
        <f t="shared" si="3"/>
        <v>1.7751479289940829E-2</v>
      </c>
      <c r="P37" s="1"/>
      <c r="Q37" s="30">
        <f t="shared" si="2"/>
        <v>3.5788034103541214E-2</v>
      </c>
      <c r="R37" s="30">
        <f t="shared" ref="R37:R47" si="4">Q37*100</f>
        <v>3.5788034103541215</v>
      </c>
      <c r="S37" s="7" t="s">
        <v>17</v>
      </c>
      <c r="T37" s="44">
        <v>3.5788034103541215</v>
      </c>
      <c r="U37" s="31">
        <v>3.5788034103541214E-2</v>
      </c>
    </row>
    <row r="38" spans="2:21" x14ac:dyDescent="0.25">
      <c r="B38" s="1"/>
      <c r="C38" s="2" t="s">
        <v>15</v>
      </c>
      <c r="D38" s="29">
        <f t="shared" ref="D38:O38" si="5">D21/D31</f>
        <v>3.007518796992481E-2</v>
      </c>
      <c r="E38" s="24">
        <f t="shared" si="5"/>
        <v>1.0989010989010988E-2</v>
      </c>
      <c r="F38" s="22">
        <f t="shared" si="5"/>
        <v>2.6086956521739132E-2</v>
      </c>
      <c r="G38" s="25">
        <f t="shared" si="5"/>
        <v>2.9045643153526968E-2</v>
      </c>
      <c r="H38" s="25">
        <f t="shared" si="5"/>
        <v>4.5103092783505147E-2</v>
      </c>
      <c r="I38" s="25">
        <f t="shared" si="5"/>
        <v>1.098901098901099E-2</v>
      </c>
      <c r="J38" s="25">
        <f t="shared" si="5"/>
        <v>1.3157894736842105E-2</v>
      </c>
      <c r="K38" s="25">
        <f t="shared" si="5"/>
        <v>1.7964071856287428E-2</v>
      </c>
      <c r="L38" s="25">
        <f t="shared" si="5"/>
        <v>7.3170731707317069E-2</v>
      </c>
      <c r="M38" s="25">
        <f t="shared" si="5"/>
        <v>1.7241379310344827E-2</v>
      </c>
      <c r="N38" s="25">
        <f t="shared" si="5"/>
        <v>1.4285714285714285E-2</v>
      </c>
      <c r="O38" s="25">
        <f t="shared" si="5"/>
        <v>1.7751479289940829E-2</v>
      </c>
      <c r="P38" s="1"/>
      <c r="Q38" s="30">
        <f t="shared" si="2"/>
        <v>2.5488347799430378E-2</v>
      </c>
      <c r="R38" s="30">
        <f t="shared" si="4"/>
        <v>2.5488347799430375</v>
      </c>
      <c r="S38" s="7" t="s">
        <v>15</v>
      </c>
      <c r="T38" s="44">
        <v>2.5488347799430375</v>
      </c>
      <c r="U38" s="31">
        <v>2.5488347799430378E-2</v>
      </c>
    </row>
    <row r="39" spans="2:21" x14ac:dyDescent="0.25">
      <c r="B39" s="1"/>
      <c r="C39" s="2" t="s">
        <v>23</v>
      </c>
      <c r="D39" s="29">
        <f t="shared" ref="D39:O39" si="6">D22/D31</f>
        <v>7.5187969924812026E-2</v>
      </c>
      <c r="E39" s="24">
        <f t="shared" si="6"/>
        <v>9.8901098901098911E-2</v>
      </c>
      <c r="F39" s="25">
        <f t="shared" si="6"/>
        <v>0.13043478260869568</v>
      </c>
      <c r="G39" s="22">
        <f t="shared" si="6"/>
        <v>0.14522821576763484</v>
      </c>
      <c r="H39" s="26">
        <f t="shared" si="6"/>
        <v>0.13530927835051546</v>
      </c>
      <c r="I39" s="26">
        <f t="shared" si="6"/>
        <v>0.21978021978021978</v>
      </c>
      <c r="J39" s="26">
        <f t="shared" si="6"/>
        <v>0.15789473684210525</v>
      </c>
      <c r="K39" s="26">
        <f t="shared" si="6"/>
        <v>0.26946107784431139</v>
      </c>
      <c r="L39" s="26">
        <f t="shared" si="6"/>
        <v>0.14634146341463414</v>
      </c>
      <c r="M39" s="26">
        <f t="shared" si="6"/>
        <v>0.25862068965517243</v>
      </c>
      <c r="N39" s="26">
        <f t="shared" si="6"/>
        <v>0.2</v>
      </c>
      <c r="O39" s="26">
        <f t="shared" si="6"/>
        <v>0.24852071005917162</v>
      </c>
      <c r="P39" s="1"/>
      <c r="Q39" s="30">
        <f t="shared" si="2"/>
        <v>0.17380668692903092</v>
      </c>
      <c r="R39" s="30">
        <f t="shared" si="4"/>
        <v>17.380668692903093</v>
      </c>
      <c r="S39" s="7" t="s">
        <v>23</v>
      </c>
      <c r="T39" s="44">
        <v>17.380668692903093</v>
      </c>
      <c r="U39" s="31">
        <v>0.17380668692903092</v>
      </c>
    </row>
    <row r="40" spans="2:21" x14ac:dyDescent="0.25">
      <c r="B40" s="1"/>
      <c r="C40" s="2" t="s">
        <v>41</v>
      </c>
      <c r="D40" s="29">
        <f t="shared" ref="D40:O40" si="7">D23/D31</f>
        <v>0.45112781954887216</v>
      </c>
      <c r="E40" s="24">
        <f t="shared" si="7"/>
        <v>0.16483516483516483</v>
      </c>
      <c r="F40" s="25">
        <f t="shared" si="7"/>
        <v>0.15652173913043479</v>
      </c>
      <c r="G40" s="26">
        <f t="shared" si="7"/>
        <v>0.29045643153526968</v>
      </c>
      <c r="H40" s="22">
        <f t="shared" si="7"/>
        <v>0.27061855670103091</v>
      </c>
      <c r="I40" s="27">
        <f t="shared" si="7"/>
        <v>0.21978021978021978</v>
      </c>
      <c r="J40" s="27">
        <f t="shared" si="7"/>
        <v>0.18421052631578946</v>
      </c>
      <c r="K40" s="27">
        <f t="shared" si="7"/>
        <v>0.17964071856287425</v>
      </c>
      <c r="L40" s="27">
        <f t="shared" si="7"/>
        <v>0.14634146341463414</v>
      </c>
      <c r="M40" s="27">
        <f t="shared" si="7"/>
        <v>0.25862068965517243</v>
      </c>
      <c r="N40" s="27">
        <f t="shared" si="7"/>
        <v>0.2</v>
      </c>
      <c r="O40" s="27">
        <f t="shared" si="7"/>
        <v>0.24852071005917162</v>
      </c>
      <c r="P40" s="1"/>
      <c r="Q40" s="30">
        <f t="shared" si="2"/>
        <v>0.23088950329488619</v>
      </c>
      <c r="R40" s="30">
        <f t="shared" si="4"/>
        <v>23.088950329488618</v>
      </c>
      <c r="S40" s="7" t="s">
        <v>41</v>
      </c>
      <c r="T40" s="44">
        <v>23.088950329488618</v>
      </c>
      <c r="U40" s="31">
        <v>0.23088950329488619</v>
      </c>
    </row>
    <row r="41" spans="2:21" x14ac:dyDescent="0.25">
      <c r="B41" s="1"/>
      <c r="C41" s="43" t="s">
        <v>25</v>
      </c>
      <c r="D41" s="29">
        <f t="shared" ref="D41:O41" si="8">D24/D31</f>
        <v>5.0125313283208017E-2</v>
      </c>
      <c r="E41" s="24">
        <f t="shared" si="8"/>
        <v>6.5934065934065936E-2</v>
      </c>
      <c r="F41" s="25">
        <f t="shared" si="8"/>
        <v>0.10434782608695653</v>
      </c>
      <c r="G41" s="26">
        <f t="shared" si="8"/>
        <v>2.9045643153526968E-2</v>
      </c>
      <c r="H41" s="27">
        <f t="shared" si="8"/>
        <v>5.4123711340206188E-2</v>
      </c>
      <c r="I41" s="22">
        <f t="shared" si="8"/>
        <v>4.3956043956043959E-2</v>
      </c>
      <c r="J41" s="23">
        <f t="shared" si="8"/>
        <v>5.2631578947368418E-2</v>
      </c>
      <c r="K41" s="23">
        <f t="shared" si="8"/>
        <v>2.9940119760479042E-2</v>
      </c>
      <c r="L41" s="23">
        <f t="shared" si="8"/>
        <v>4.878048780487805E-2</v>
      </c>
      <c r="M41" s="23">
        <f t="shared" si="8"/>
        <v>1.7241379310344827E-2</v>
      </c>
      <c r="N41" s="23">
        <f t="shared" si="8"/>
        <v>5.7142857142857141E-2</v>
      </c>
      <c r="O41" s="23">
        <f t="shared" si="8"/>
        <v>7.1005917159763315E-2</v>
      </c>
      <c r="P41" s="1"/>
      <c r="Q41" s="30">
        <f t="shared" si="2"/>
        <v>5.2022911989974864E-2</v>
      </c>
      <c r="R41" s="30">
        <f t="shared" si="4"/>
        <v>5.2022911989974867</v>
      </c>
      <c r="S41" s="7" t="s">
        <v>25</v>
      </c>
      <c r="T41" s="44">
        <v>5.2022911989974867</v>
      </c>
      <c r="U41" s="31">
        <v>5.2022911989974864E-2</v>
      </c>
    </row>
    <row r="42" spans="2:21" x14ac:dyDescent="0.25">
      <c r="B42" s="1"/>
      <c r="C42" s="2" t="s">
        <v>21</v>
      </c>
      <c r="D42" s="29">
        <f t="shared" ref="D42:O42" si="9">D25/D31</f>
        <v>2.5062656641604009E-2</v>
      </c>
      <c r="E42" s="24">
        <f t="shared" si="9"/>
        <v>1.6483516483516484E-2</v>
      </c>
      <c r="F42" s="25">
        <f t="shared" si="9"/>
        <v>5.2173913043478265E-2</v>
      </c>
      <c r="G42" s="26">
        <f t="shared" si="9"/>
        <v>2.4204702627939136E-2</v>
      </c>
      <c r="H42" s="27">
        <f t="shared" si="9"/>
        <v>3.8659793814432984E-2</v>
      </c>
      <c r="I42" s="23">
        <f t="shared" si="9"/>
        <v>2.197802197802198E-2</v>
      </c>
      <c r="J42" s="22">
        <f t="shared" si="9"/>
        <v>2.6315789473684209E-2</v>
      </c>
      <c r="K42" s="24">
        <f t="shared" si="9"/>
        <v>1.7964071856287428E-2</v>
      </c>
      <c r="L42" s="24">
        <f t="shared" si="9"/>
        <v>4.878048780487805E-2</v>
      </c>
      <c r="M42" s="24">
        <f t="shared" si="9"/>
        <v>1.2931034482758622E-2</v>
      </c>
      <c r="N42" s="24">
        <f t="shared" si="9"/>
        <v>1.4285714285714285E-2</v>
      </c>
      <c r="O42" s="24">
        <f t="shared" si="9"/>
        <v>1.7751479289940829E-2</v>
      </c>
      <c r="P42" s="1"/>
      <c r="Q42" s="30">
        <f t="shared" si="2"/>
        <v>2.6382598481854688E-2</v>
      </c>
      <c r="R42" s="30">
        <f t="shared" si="4"/>
        <v>2.6382598481854687</v>
      </c>
      <c r="S42" s="7" t="s">
        <v>21</v>
      </c>
      <c r="T42" s="44">
        <v>2.6382598481854687</v>
      </c>
      <c r="U42" s="31">
        <v>2.6382598481854688E-2</v>
      </c>
    </row>
    <row r="43" spans="2:21" x14ac:dyDescent="0.25">
      <c r="B43" s="1"/>
      <c r="C43" s="2" t="s">
        <v>24</v>
      </c>
      <c r="D43" s="29">
        <f t="shared" ref="D43:O43" si="10">D26/D31</f>
        <v>5.0125313283208017E-2</v>
      </c>
      <c r="E43" s="24">
        <f t="shared" si="10"/>
        <v>0.16483516483516483</v>
      </c>
      <c r="F43" s="25">
        <f t="shared" si="10"/>
        <v>0.13043478260869568</v>
      </c>
      <c r="G43" s="26">
        <f t="shared" si="10"/>
        <v>4.8409405255878273E-2</v>
      </c>
      <c r="H43" s="27">
        <f t="shared" si="10"/>
        <v>0.13530927835051546</v>
      </c>
      <c r="I43" s="23">
        <f t="shared" si="10"/>
        <v>0.13186813186813187</v>
      </c>
      <c r="J43" s="24">
        <f t="shared" si="10"/>
        <v>0.13157894736842105</v>
      </c>
      <c r="K43" s="22">
        <f t="shared" si="10"/>
        <v>8.9820359281437126E-2</v>
      </c>
      <c r="L43" s="25">
        <f t="shared" si="10"/>
        <v>0.12195121951219512</v>
      </c>
      <c r="M43" s="25">
        <f t="shared" si="10"/>
        <v>0.10344827586206898</v>
      </c>
      <c r="N43" s="25">
        <f t="shared" si="10"/>
        <v>0.11428571428571428</v>
      </c>
      <c r="O43" s="25">
        <f t="shared" si="10"/>
        <v>0.14201183431952663</v>
      </c>
      <c r="P43" s="1"/>
      <c r="Q43" s="30">
        <f t="shared" si="2"/>
        <v>0.11367320223591311</v>
      </c>
      <c r="R43" s="30">
        <f t="shared" si="4"/>
        <v>11.36732022359131</v>
      </c>
      <c r="S43" s="7" t="s">
        <v>24</v>
      </c>
      <c r="T43" s="44">
        <v>11.36732022359131</v>
      </c>
      <c r="U43" s="31">
        <v>0.11367320223591311</v>
      </c>
    </row>
    <row r="44" spans="2:21" x14ac:dyDescent="0.25">
      <c r="B44" s="1"/>
      <c r="C44" s="2" t="s">
        <v>42</v>
      </c>
      <c r="D44" s="29">
        <f t="shared" ref="D44:O44" si="11">D27/D31</f>
        <v>2.5062656641604009E-2</v>
      </c>
      <c r="E44" s="24">
        <f t="shared" si="11"/>
        <v>1.6483516483516484E-2</v>
      </c>
      <c r="F44" s="25">
        <f t="shared" si="11"/>
        <v>8.6956521739130436E-3</v>
      </c>
      <c r="G44" s="26">
        <f t="shared" si="11"/>
        <v>2.4204702627939136E-2</v>
      </c>
      <c r="H44" s="27">
        <f t="shared" si="11"/>
        <v>4.5103092783505147E-2</v>
      </c>
      <c r="I44" s="23">
        <f t="shared" si="11"/>
        <v>2.197802197802198E-2</v>
      </c>
      <c r="J44" s="24">
        <f t="shared" si="11"/>
        <v>1.3157894736842105E-2</v>
      </c>
      <c r="K44" s="25">
        <f t="shared" si="11"/>
        <v>1.7964071856287428E-2</v>
      </c>
      <c r="L44" s="22">
        <f t="shared" si="11"/>
        <v>2.4390243902439025E-2</v>
      </c>
      <c r="M44" s="26">
        <f t="shared" si="11"/>
        <v>1.7241379310344827E-2</v>
      </c>
      <c r="N44" s="26">
        <f t="shared" si="11"/>
        <v>1.4285714285714285E-2</v>
      </c>
      <c r="O44" s="26">
        <f t="shared" si="11"/>
        <v>1.1834319526627219E-2</v>
      </c>
      <c r="P44" s="1"/>
      <c r="Q44" s="30">
        <f t="shared" si="2"/>
        <v>2.0033438858896226E-2</v>
      </c>
      <c r="R44" s="30">
        <f t="shared" si="4"/>
        <v>2.0033438858896226</v>
      </c>
      <c r="S44" s="7" t="s">
        <v>42</v>
      </c>
      <c r="T44" s="44">
        <v>2.0033438858896226</v>
      </c>
      <c r="U44" s="31">
        <v>2.0033438858896226E-2</v>
      </c>
    </row>
    <row r="45" spans="2:21" x14ac:dyDescent="0.25">
      <c r="C45" s="2" t="s">
        <v>26</v>
      </c>
      <c r="D45" s="29">
        <f t="shared" ref="D45:O45" si="12">D28/D31</f>
        <v>3.7593984962406013E-2</v>
      </c>
      <c r="E45" s="24">
        <f t="shared" si="12"/>
        <v>9.8901098901098911E-2</v>
      </c>
      <c r="F45" s="25">
        <f t="shared" si="12"/>
        <v>7.8260869565217397E-2</v>
      </c>
      <c r="G45" s="26">
        <f t="shared" si="12"/>
        <v>2.9045643153526968E-2</v>
      </c>
      <c r="H45" s="27">
        <f t="shared" si="12"/>
        <v>5.4123711340206188E-2</v>
      </c>
      <c r="I45" s="23">
        <f t="shared" si="12"/>
        <v>0.13186813186813187</v>
      </c>
      <c r="J45" s="24">
        <f t="shared" si="12"/>
        <v>0.10526315789473684</v>
      </c>
      <c r="K45" s="25">
        <f t="shared" si="12"/>
        <v>4.4910179640718563E-2</v>
      </c>
      <c r="L45" s="26">
        <f t="shared" si="12"/>
        <v>7.3170731707317069E-2</v>
      </c>
      <c r="M45" s="22">
        <f t="shared" si="12"/>
        <v>5.1724137931034489E-2</v>
      </c>
      <c r="N45" s="27">
        <f t="shared" si="12"/>
        <v>0.11428571428571428</v>
      </c>
      <c r="O45" s="27">
        <f t="shared" si="12"/>
        <v>7.1005917159763315E-2</v>
      </c>
      <c r="P45" s="1"/>
      <c r="Q45" s="30">
        <f t="shared" si="2"/>
        <v>7.417943986748933E-2</v>
      </c>
      <c r="R45" s="30">
        <f t="shared" si="4"/>
        <v>7.4179439867489334</v>
      </c>
      <c r="S45" s="7" t="s">
        <v>26</v>
      </c>
      <c r="T45" s="44">
        <v>7.4179439867489334</v>
      </c>
      <c r="U45" s="31">
        <v>7.417943986748933E-2</v>
      </c>
    </row>
    <row r="46" spans="2:21" x14ac:dyDescent="0.25">
      <c r="B46" s="1"/>
      <c r="C46" s="2" t="s">
        <v>27</v>
      </c>
      <c r="D46" s="29">
        <f t="shared" ref="D46:O46" si="13">D29/D31</f>
        <v>3.007518796992481E-2</v>
      </c>
      <c r="E46" s="24">
        <f t="shared" si="13"/>
        <v>6.5934065934065936E-2</v>
      </c>
      <c r="F46" s="25">
        <f t="shared" si="13"/>
        <v>5.2173913043478265E-2</v>
      </c>
      <c r="G46" s="26">
        <f t="shared" si="13"/>
        <v>2.0746887966804975E-2</v>
      </c>
      <c r="H46" s="27">
        <f t="shared" si="13"/>
        <v>3.8659793814432984E-2</v>
      </c>
      <c r="I46" s="23">
        <f t="shared" si="13"/>
        <v>2.197802197802198E-2</v>
      </c>
      <c r="J46" s="24">
        <f t="shared" si="13"/>
        <v>5.2631578947368418E-2</v>
      </c>
      <c r="K46" s="25">
        <f t="shared" si="13"/>
        <v>2.2455089820359281E-2</v>
      </c>
      <c r="L46" s="26">
        <f t="shared" si="13"/>
        <v>4.878048780487805E-2</v>
      </c>
      <c r="M46" s="27">
        <f t="shared" si="13"/>
        <v>1.2931034482758622E-2</v>
      </c>
      <c r="N46" s="22">
        <f t="shared" si="13"/>
        <v>2.8571428571428571E-2</v>
      </c>
      <c r="O46" s="23">
        <f t="shared" si="13"/>
        <v>1.1834319526627219E-2</v>
      </c>
      <c r="P46" s="1"/>
      <c r="Q46" s="30">
        <f t="shared" si="2"/>
        <v>3.3897650821679094E-2</v>
      </c>
      <c r="R46" s="30">
        <f t="shared" si="4"/>
        <v>3.3897650821679095</v>
      </c>
      <c r="S46" s="7" t="s">
        <v>27</v>
      </c>
      <c r="T46" s="44">
        <v>3.3897650821679095</v>
      </c>
      <c r="U46" s="31">
        <v>3.3897650821679094E-2</v>
      </c>
    </row>
    <row r="47" spans="2:21" x14ac:dyDescent="0.25">
      <c r="B47" s="1"/>
      <c r="C47" s="2" t="s">
        <v>22</v>
      </c>
      <c r="D47" s="29">
        <f t="shared" ref="D47:O47" si="14">D30/D31</f>
        <v>5.0125313283208017E-2</v>
      </c>
      <c r="E47" s="24">
        <f t="shared" si="14"/>
        <v>6.5934065934065936E-2</v>
      </c>
      <c r="F47" s="25">
        <f t="shared" si="14"/>
        <v>5.2173913043478265E-2</v>
      </c>
      <c r="G47" s="26">
        <f t="shared" si="14"/>
        <v>2.0746887966804975E-2</v>
      </c>
      <c r="H47" s="42">
        <f t="shared" si="14"/>
        <v>3.8659793814432984E-2</v>
      </c>
      <c r="I47" s="23">
        <f t="shared" si="14"/>
        <v>2.197802197802198E-2</v>
      </c>
      <c r="J47" s="24">
        <f t="shared" si="14"/>
        <v>5.2631578947368418E-2</v>
      </c>
      <c r="K47" s="25">
        <f t="shared" si="14"/>
        <v>2.2455089820359281E-2</v>
      </c>
      <c r="L47" s="26">
        <f t="shared" si="14"/>
        <v>7.3170731707317069E-2</v>
      </c>
      <c r="M47" s="42">
        <f t="shared" si="14"/>
        <v>2.5862068965517244E-2</v>
      </c>
      <c r="N47" s="23">
        <f t="shared" si="14"/>
        <v>8.5714285714285715E-2</v>
      </c>
      <c r="O47" s="22">
        <f t="shared" si="14"/>
        <v>3.5502958579881658E-2</v>
      </c>
      <c r="P47" s="1"/>
      <c r="Q47" s="30">
        <f t="shared" si="2"/>
        <v>4.5412892479561789E-2</v>
      </c>
      <c r="R47" s="30">
        <f t="shared" si="4"/>
        <v>4.5412892479561791</v>
      </c>
      <c r="S47" s="7" t="s">
        <v>22</v>
      </c>
      <c r="T47" s="44">
        <v>4.5412892479561791</v>
      </c>
      <c r="U47" s="31">
        <v>4.5412892479561789E-2</v>
      </c>
    </row>
    <row r="48" spans="2:21" x14ac:dyDescent="0.25">
      <c r="B48" s="1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"/>
      <c r="Q48" s="1"/>
      <c r="R48" s="37">
        <f>SUM(R36:R47)</f>
        <v>100</v>
      </c>
      <c r="S48" s="1"/>
      <c r="T48" s="37">
        <f>SUM(T36:T47)</f>
        <v>100</v>
      </c>
      <c r="U48" s="37">
        <f>SUM(U36:U47)</f>
        <v>0.99999999999999989</v>
      </c>
    </row>
    <row r="49" spans="2:22" s="40" customFormat="1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U49" s="1"/>
      <c r="V49"/>
    </row>
    <row r="50" spans="2:22" s="40" customFormat="1" x14ac:dyDescent="0.25">
      <c r="B50" s="1"/>
      <c r="C50" s="45" t="s">
        <v>37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1"/>
      <c r="Q50" s="1"/>
      <c r="R50" s="1"/>
      <c r="S50" s="1"/>
      <c r="U50" s="1"/>
      <c r="V50"/>
    </row>
    <row r="51" spans="2:22" s="40" customFormat="1" x14ac:dyDescent="0.25">
      <c r="B51" s="1" t="s">
        <v>10</v>
      </c>
      <c r="C51" s="2"/>
      <c r="D51" s="2" t="s">
        <v>16</v>
      </c>
      <c r="E51" s="2" t="s">
        <v>17</v>
      </c>
      <c r="F51" s="2" t="s">
        <v>15</v>
      </c>
      <c r="G51" s="2" t="s">
        <v>23</v>
      </c>
      <c r="H51" s="2" t="s">
        <v>41</v>
      </c>
      <c r="I51" s="48" t="s">
        <v>25</v>
      </c>
      <c r="J51" s="2" t="s">
        <v>21</v>
      </c>
      <c r="K51" s="2" t="s">
        <v>24</v>
      </c>
      <c r="L51" s="48" t="s">
        <v>42</v>
      </c>
      <c r="M51" s="2" t="s">
        <v>26</v>
      </c>
      <c r="N51" s="2" t="s">
        <v>27</v>
      </c>
      <c r="O51" s="2" t="s">
        <v>22</v>
      </c>
      <c r="P51" s="1"/>
      <c r="Q51" s="1"/>
      <c r="R51" s="1"/>
      <c r="S51" s="1"/>
      <c r="U51" s="1"/>
      <c r="V51"/>
    </row>
    <row r="52" spans="2:22" s="40" customFormat="1" x14ac:dyDescent="0.25">
      <c r="B52" s="1"/>
      <c r="C52" s="2" t="s">
        <v>28</v>
      </c>
      <c r="D52" s="31">
        <v>0.16842529313774213</v>
      </c>
      <c r="E52" s="31">
        <v>3.5788034103541214E-2</v>
      </c>
      <c r="F52" s="31">
        <v>2.5488347799430378E-2</v>
      </c>
      <c r="G52" s="31">
        <v>0.17380668692903092</v>
      </c>
      <c r="H52" s="31">
        <v>0.23088950329488619</v>
      </c>
      <c r="I52" s="31">
        <v>5.2022911989974864E-2</v>
      </c>
      <c r="J52" s="31">
        <v>2.6382598481854688E-2</v>
      </c>
      <c r="K52" s="31">
        <v>0.11367320223591311</v>
      </c>
      <c r="L52" s="31">
        <v>2.0033438858896226E-2</v>
      </c>
      <c r="M52" s="31">
        <v>7.417943986748933E-2</v>
      </c>
      <c r="N52" s="31">
        <v>3.3897650821679094E-2</v>
      </c>
      <c r="O52" s="31">
        <v>4.5412892479561789E-2</v>
      </c>
      <c r="P52" s="1"/>
      <c r="Q52" s="1"/>
      <c r="R52" s="1"/>
      <c r="S52" s="1"/>
      <c r="U52" s="1"/>
      <c r="V52"/>
    </row>
    <row r="53" spans="2:22" s="40" customFormat="1" x14ac:dyDescent="0.25">
      <c r="B53" s="1"/>
      <c r="C53" s="2" t="s">
        <v>16</v>
      </c>
      <c r="D53" s="22">
        <v>1</v>
      </c>
      <c r="E53" s="23">
        <v>6</v>
      </c>
      <c r="F53" s="23">
        <v>5</v>
      </c>
      <c r="G53" s="23">
        <v>2</v>
      </c>
      <c r="H53" s="23">
        <f>1/3</f>
        <v>0.33333333333333331</v>
      </c>
      <c r="I53" s="23">
        <v>3</v>
      </c>
      <c r="J53" s="23">
        <v>6</v>
      </c>
      <c r="K53" s="23">
        <v>3</v>
      </c>
      <c r="L53" s="23">
        <v>6</v>
      </c>
      <c r="M53" s="23">
        <v>4</v>
      </c>
      <c r="N53" s="23">
        <v>5</v>
      </c>
      <c r="O53" s="23">
        <v>3</v>
      </c>
      <c r="P53" s="1"/>
      <c r="Q53" s="1"/>
      <c r="R53" s="1"/>
      <c r="S53" s="1"/>
      <c r="U53" s="1"/>
      <c r="V53"/>
    </row>
    <row r="54" spans="2:22" s="40" customFormat="1" x14ac:dyDescent="0.25">
      <c r="B54" s="1"/>
      <c r="C54" s="2" t="s">
        <v>17</v>
      </c>
      <c r="D54" s="23">
        <f>1/6</f>
        <v>0.16666666666666666</v>
      </c>
      <c r="E54" s="22">
        <v>1</v>
      </c>
      <c r="F54" s="24">
        <v>3</v>
      </c>
      <c r="G54" s="24">
        <f>1/3</f>
        <v>0.33333333333333331</v>
      </c>
      <c r="H54" s="24">
        <f>1/5</f>
        <v>0.2</v>
      </c>
      <c r="I54" s="24">
        <v>0.5</v>
      </c>
      <c r="J54" s="24">
        <v>2</v>
      </c>
      <c r="K54" s="24">
        <v>0.2</v>
      </c>
      <c r="L54" s="24">
        <v>2</v>
      </c>
      <c r="M54" s="24">
        <v>0.33333333333333331</v>
      </c>
      <c r="N54" s="24">
        <v>0.5</v>
      </c>
      <c r="O54" s="24">
        <v>0.5</v>
      </c>
      <c r="P54" s="1"/>
      <c r="Q54" s="1"/>
      <c r="R54" s="1"/>
      <c r="S54" s="1"/>
      <c r="U54" s="1"/>
      <c r="V54"/>
    </row>
    <row r="55" spans="2:22" s="40" customFormat="1" x14ac:dyDescent="0.25">
      <c r="B55" s="1"/>
      <c r="C55" s="2" t="s">
        <v>15</v>
      </c>
      <c r="D55" s="23">
        <f>1/5</f>
        <v>0.2</v>
      </c>
      <c r="E55" s="24">
        <f>1/3</f>
        <v>0.33333333333333331</v>
      </c>
      <c r="F55" s="22">
        <v>1</v>
      </c>
      <c r="G55" s="25">
        <f>1/5</f>
        <v>0.2</v>
      </c>
      <c r="H55" s="25">
        <f>1/6</f>
        <v>0.16666666666666666</v>
      </c>
      <c r="I55" s="25">
        <v>0.25</v>
      </c>
      <c r="J55" s="25">
        <v>0.5</v>
      </c>
      <c r="K55" s="25">
        <v>0.2</v>
      </c>
      <c r="L55" s="25">
        <v>3</v>
      </c>
      <c r="M55" s="25">
        <v>0.33333333333333331</v>
      </c>
      <c r="N55" s="25">
        <v>0.5</v>
      </c>
      <c r="O55" s="25">
        <v>0.5</v>
      </c>
      <c r="P55" s="1"/>
      <c r="Q55" s="1"/>
      <c r="R55" s="1"/>
      <c r="S55" s="1"/>
      <c r="U55" s="1"/>
      <c r="V55"/>
    </row>
    <row r="56" spans="2:22" s="40" customFormat="1" x14ac:dyDescent="0.25">
      <c r="B56" s="1"/>
      <c r="C56" s="2" t="s">
        <v>23</v>
      </c>
      <c r="D56" s="23">
        <f>1/2</f>
        <v>0.5</v>
      </c>
      <c r="E56" s="24">
        <v>3</v>
      </c>
      <c r="F56" s="25">
        <v>5</v>
      </c>
      <c r="G56" s="22">
        <v>1</v>
      </c>
      <c r="H56" s="26">
        <v>0.5</v>
      </c>
      <c r="I56" s="26">
        <v>5</v>
      </c>
      <c r="J56" s="26">
        <v>6</v>
      </c>
      <c r="K56" s="26">
        <v>3</v>
      </c>
      <c r="L56" s="26">
        <v>6</v>
      </c>
      <c r="M56" s="26">
        <v>5</v>
      </c>
      <c r="N56" s="26">
        <v>7</v>
      </c>
      <c r="O56" s="26">
        <v>7</v>
      </c>
      <c r="P56" s="1"/>
      <c r="Q56" s="1"/>
      <c r="R56" s="1"/>
      <c r="S56" s="1"/>
      <c r="U56" s="1"/>
      <c r="V56"/>
    </row>
    <row r="57" spans="2:22" s="40" customFormat="1" x14ac:dyDescent="0.25">
      <c r="B57" s="1"/>
      <c r="C57" s="2" t="s">
        <v>41</v>
      </c>
      <c r="D57" s="23">
        <v>3</v>
      </c>
      <c r="E57" s="24">
        <v>5</v>
      </c>
      <c r="F57" s="25">
        <v>6</v>
      </c>
      <c r="G57" s="26">
        <v>2</v>
      </c>
      <c r="H57" s="22">
        <v>1</v>
      </c>
      <c r="I57" s="27">
        <v>5</v>
      </c>
      <c r="J57" s="27">
        <v>7</v>
      </c>
      <c r="K57" s="27">
        <v>2</v>
      </c>
      <c r="L57" s="27">
        <v>6</v>
      </c>
      <c r="M57" s="27">
        <v>5</v>
      </c>
      <c r="N57" s="27">
        <v>7</v>
      </c>
      <c r="O57" s="27">
        <v>7</v>
      </c>
      <c r="P57" s="1"/>
      <c r="Q57" s="1"/>
      <c r="R57" s="1"/>
      <c r="S57" s="1"/>
      <c r="U57" s="1"/>
      <c r="V57"/>
    </row>
    <row r="58" spans="2:22" s="40" customFormat="1" x14ac:dyDescent="0.25">
      <c r="B58" s="1"/>
      <c r="C58" s="43" t="s">
        <v>25</v>
      </c>
      <c r="D58" s="23">
        <v>0.33333333333333331</v>
      </c>
      <c r="E58" s="24">
        <v>2</v>
      </c>
      <c r="F58" s="25">
        <v>4</v>
      </c>
      <c r="G58" s="26">
        <v>0.2</v>
      </c>
      <c r="H58" s="27">
        <v>0.2</v>
      </c>
      <c r="I58" s="22">
        <v>1</v>
      </c>
      <c r="J58" s="23">
        <v>2</v>
      </c>
      <c r="K58" s="23">
        <v>0.33333333333333331</v>
      </c>
      <c r="L58" s="23">
        <v>2</v>
      </c>
      <c r="M58" s="23">
        <v>0.33333333333333331</v>
      </c>
      <c r="N58" s="23">
        <v>2</v>
      </c>
      <c r="O58" s="23">
        <v>2</v>
      </c>
      <c r="P58" s="1"/>
      <c r="Q58" s="1"/>
      <c r="R58" s="1"/>
      <c r="S58" s="1"/>
      <c r="U58" s="1"/>
      <c r="V58"/>
    </row>
    <row r="59" spans="2:22" s="40" customFormat="1" ht="18.75" customHeight="1" x14ac:dyDescent="0.25">
      <c r="B59" s="1"/>
      <c r="C59" s="2" t="s">
        <v>21</v>
      </c>
      <c r="D59" s="23">
        <f>1/6</f>
        <v>0.16666666666666666</v>
      </c>
      <c r="E59" s="24">
        <f>1/2</f>
        <v>0.5</v>
      </c>
      <c r="F59" s="25">
        <v>2</v>
      </c>
      <c r="G59" s="26">
        <v>0.16666666666666666</v>
      </c>
      <c r="H59" s="27">
        <v>0.14285714285714285</v>
      </c>
      <c r="I59" s="23">
        <v>0.5</v>
      </c>
      <c r="J59" s="22">
        <v>1</v>
      </c>
      <c r="K59" s="24">
        <v>0.2</v>
      </c>
      <c r="L59" s="24">
        <v>2</v>
      </c>
      <c r="M59" s="24">
        <v>0.25</v>
      </c>
      <c r="N59" s="24">
        <v>0.5</v>
      </c>
      <c r="O59" s="24">
        <v>0.5</v>
      </c>
      <c r="P59" s="1"/>
      <c r="Q59" s="1"/>
      <c r="R59" s="1"/>
      <c r="S59" s="1"/>
      <c r="U59" s="1"/>
      <c r="V59"/>
    </row>
    <row r="60" spans="2:22" s="40" customFormat="1" x14ac:dyDescent="0.25">
      <c r="B60" s="1"/>
      <c r="C60" s="2" t="s">
        <v>24</v>
      </c>
      <c r="D60" s="23">
        <f>1/3</f>
        <v>0.33333333333333331</v>
      </c>
      <c r="E60" s="24">
        <v>5</v>
      </c>
      <c r="F60" s="25">
        <v>5</v>
      </c>
      <c r="G60" s="26">
        <v>0.33333333333333331</v>
      </c>
      <c r="H60" s="27">
        <v>0.5</v>
      </c>
      <c r="I60" s="23">
        <v>3</v>
      </c>
      <c r="J60" s="24">
        <v>5</v>
      </c>
      <c r="K60" s="22">
        <v>1</v>
      </c>
      <c r="L60" s="25">
        <v>5</v>
      </c>
      <c r="M60" s="25">
        <v>2</v>
      </c>
      <c r="N60" s="25">
        <v>4</v>
      </c>
      <c r="O60" s="25">
        <v>4</v>
      </c>
      <c r="P60" s="1"/>
      <c r="Q60" s="1"/>
      <c r="R60" s="1"/>
      <c r="S60" s="1"/>
      <c r="U60" s="1"/>
      <c r="V60"/>
    </row>
    <row r="61" spans="2:22" s="40" customFormat="1" x14ac:dyDescent="0.25">
      <c r="B61" s="1"/>
      <c r="C61" s="2" t="s">
        <v>42</v>
      </c>
      <c r="D61" s="23">
        <f>1/6</f>
        <v>0.16666666666666666</v>
      </c>
      <c r="E61" s="24">
        <f>1/2</f>
        <v>0.5</v>
      </c>
      <c r="F61" s="25">
        <v>0.33333333333333331</v>
      </c>
      <c r="G61" s="26">
        <v>0.16666666666666666</v>
      </c>
      <c r="H61" s="27">
        <v>0.16666666666666666</v>
      </c>
      <c r="I61" s="23">
        <v>0.5</v>
      </c>
      <c r="J61" s="24">
        <v>0.5</v>
      </c>
      <c r="K61" s="25">
        <v>0.2</v>
      </c>
      <c r="L61" s="22">
        <v>1</v>
      </c>
      <c r="M61" s="26">
        <v>0.33333333333333331</v>
      </c>
      <c r="N61" s="26">
        <v>0.5</v>
      </c>
      <c r="O61" s="26">
        <v>0.33333333333333331</v>
      </c>
      <c r="P61" s="1"/>
      <c r="Q61" s="1"/>
      <c r="R61" s="1"/>
      <c r="S61" s="1"/>
      <c r="U61" s="1"/>
      <c r="V61"/>
    </row>
    <row r="62" spans="2:22" s="40" customFormat="1" ht="20.25" customHeight="1" x14ac:dyDescent="0.25">
      <c r="B62"/>
      <c r="C62" s="2" t="s">
        <v>26</v>
      </c>
      <c r="D62" s="23">
        <f>1/4</f>
        <v>0.25</v>
      </c>
      <c r="E62" s="24">
        <v>3</v>
      </c>
      <c r="F62" s="25">
        <v>3</v>
      </c>
      <c r="G62" s="26">
        <v>0.2</v>
      </c>
      <c r="H62" s="27">
        <v>0.2</v>
      </c>
      <c r="I62" s="23">
        <v>3</v>
      </c>
      <c r="J62" s="24">
        <v>4</v>
      </c>
      <c r="K62" s="25">
        <v>0.5</v>
      </c>
      <c r="L62" s="26">
        <v>3</v>
      </c>
      <c r="M62" s="22">
        <v>1</v>
      </c>
      <c r="N62" s="27">
        <v>4</v>
      </c>
      <c r="O62" s="27">
        <v>2</v>
      </c>
      <c r="P62" s="1"/>
      <c r="Q62" s="1"/>
      <c r="R62" s="1"/>
      <c r="S62" s="1"/>
      <c r="U62" s="1"/>
      <c r="V62"/>
    </row>
    <row r="63" spans="2:22" s="40" customFormat="1" x14ac:dyDescent="0.25">
      <c r="B63" s="1"/>
      <c r="C63" s="2" t="s">
        <v>27</v>
      </c>
      <c r="D63" s="23">
        <f>1/5</f>
        <v>0.2</v>
      </c>
      <c r="E63" s="24">
        <v>2</v>
      </c>
      <c r="F63" s="25">
        <v>2</v>
      </c>
      <c r="G63" s="26">
        <v>0.14285714285714285</v>
      </c>
      <c r="H63" s="27">
        <v>0.14285714285714285</v>
      </c>
      <c r="I63" s="23">
        <v>0.5</v>
      </c>
      <c r="J63" s="24">
        <v>2</v>
      </c>
      <c r="K63" s="25">
        <v>0.25</v>
      </c>
      <c r="L63" s="26">
        <v>2</v>
      </c>
      <c r="M63" s="27">
        <v>0.25</v>
      </c>
      <c r="N63" s="22">
        <v>1</v>
      </c>
      <c r="O63" s="23">
        <v>0.33333333333333331</v>
      </c>
      <c r="P63"/>
      <c r="Q63"/>
      <c r="R63"/>
      <c r="S63"/>
      <c r="U63" s="1"/>
      <c r="V63"/>
    </row>
    <row r="64" spans="2:22" s="40" customFormat="1" x14ac:dyDescent="0.25">
      <c r="B64" s="1"/>
      <c r="C64" s="2" t="s">
        <v>22</v>
      </c>
      <c r="D64" s="23">
        <f>1/3</f>
        <v>0.33333333333333331</v>
      </c>
      <c r="E64" s="24">
        <v>2</v>
      </c>
      <c r="F64" s="25">
        <v>2</v>
      </c>
      <c r="G64" s="26">
        <v>0.14285714285714285</v>
      </c>
      <c r="H64" s="27">
        <v>0.14285714285714285</v>
      </c>
      <c r="I64" s="23">
        <v>0.5</v>
      </c>
      <c r="J64" s="24">
        <v>2</v>
      </c>
      <c r="K64" s="25">
        <v>0.25</v>
      </c>
      <c r="L64" s="26">
        <v>3</v>
      </c>
      <c r="M64" s="27">
        <v>0.5</v>
      </c>
      <c r="N64" s="23">
        <v>3</v>
      </c>
      <c r="O64" s="22">
        <v>1</v>
      </c>
      <c r="P64"/>
      <c r="Q64"/>
      <c r="R64"/>
      <c r="S64"/>
      <c r="U64" s="1"/>
      <c r="V64"/>
    </row>
    <row r="65" spans="2:17" x14ac:dyDescent="0.25">
      <c r="C65" s="1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</row>
    <row r="67" spans="2:17" x14ac:dyDescent="0.25">
      <c r="B67" s="1"/>
      <c r="C67" s="45" t="s">
        <v>39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</row>
    <row r="68" spans="2:17" x14ac:dyDescent="0.25">
      <c r="B68" s="1" t="s">
        <v>11</v>
      </c>
      <c r="C68" s="2"/>
      <c r="D68" s="2" t="s">
        <v>16</v>
      </c>
      <c r="E68" s="2" t="s">
        <v>17</v>
      </c>
      <c r="F68" s="2" t="s">
        <v>15</v>
      </c>
      <c r="G68" s="2" t="s">
        <v>23</v>
      </c>
      <c r="H68" s="2" t="s">
        <v>41</v>
      </c>
      <c r="I68" s="48" t="s">
        <v>25</v>
      </c>
      <c r="J68" s="2" t="s">
        <v>21</v>
      </c>
      <c r="K68" s="2" t="s">
        <v>24</v>
      </c>
      <c r="L68" s="48" t="s">
        <v>42</v>
      </c>
      <c r="M68" s="2" t="s">
        <v>26</v>
      </c>
      <c r="N68" s="2" t="s">
        <v>27</v>
      </c>
      <c r="O68" s="2" t="s">
        <v>22</v>
      </c>
      <c r="Q68" s="18" t="s">
        <v>30</v>
      </c>
    </row>
    <row r="69" spans="2:17" x14ac:dyDescent="0.25">
      <c r="B69" s="1"/>
      <c r="C69" s="2" t="s">
        <v>16</v>
      </c>
      <c r="D69" s="23">
        <f t="shared" ref="D69:O69" si="15">D52*D53</f>
        <v>0.16842529313774213</v>
      </c>
      <c r="E69" s="23">
        <f t="shared" si="15"/>
        <v>0.21472820462124728</v>
      </c>
      <c r="F69" s="23">
        <f t="shared" si="15"/>
        <v>0.12744173899715189</v>
      </c>
      <c r="G69" s="23">
        <f t="shared" si="15"/>
        <v>0.34761337385806185</v>
      </c>
      <c r="H69" s="23">
        <f t="shared" si="15"/>
        <v>7.6963167764962065E-2</v>
      </c>
      <c r="I69" s="23">
        <f t="shared" si="15"/>
        <v>0.1560687359699246</v>
      </c>
      <c r="J69" s="23">
        <f t="shared" si="15"/>
        <v>0.15829559089112813</v>
      </c>
      <c r="K69" s="23">
        <f t="shared" si="15"/>
        <v>0.34101960670773934</v>
      </c>
      <c r="L69" s="23">
        <f t="shared" si="15"/>
        <v>0.12020063315337735</v>
      </c>
      <c r="M69" s="23">
        <f t="shared" si="15"/>
        <v>0.29671775946995732</v>
      </c>
      <c r="N69" s="23">
        <f t="shared" si="15"/>
        <v>0.16948825410839546</v>
      </c>
      <c r="O69" s="23">
        <f t="shared" si="15"/>
        <v>0.13623867743868537</v>
      </c>
      <c r="Q69" s="25">
        <f t="shared" ref="Q69:Q80" si="16">SUM(D69:O69)</f>
        <v>2.3132010361183726</v>
      </c>
    </row>
    <row r="70" spans="2:17" x14ac:dyDescent="0.25">
      <c r="B70" s="1"/>
      <c r="C70" s="2" t="s">
        <v>17</v>
      </c>
      <c r="D70" s="23">
        <f t="shared" ref="D70:O70" si="17">D52*D54</f>
        <v>2.8070882189623687E-2</v>
      </c>
      <c r="E70" s="24">
        <f t="shared" si="17"/>
        <v>3.5788034103541214E-2</v>
      </c>
      <c r="F70" s="24">
        <f t="shared" si="17"/>
        <v>7.6465043398291133E-2</v>
      </c>
      <c r="G70" s="24">
        <f t="shared" si="17"/>
        <v>5.7935562309676975E-2</v>
      </c>
      <c r="H70" s="24">
        <f t="shared" si="17"/>
        <v>4.6177900658977242E-2</v>
      </c>
      <c r="I70" s="24">
        <f t="shared" si="17"/>
        <v>2.6011455994987432E-2</v>
      </c>
      <c r="J70" s="24">
        <f t="shared" si="17"/>
        <v>5.2765196963709377E-2</v>
      </c>
      <c r="K70" s="24">
        <f t="shared" si="17"/>
        <v>2.2734640447182625E-2</v>
      </c>
      <c r="L70" s="24">
        <f t="shared" si="17"/>
        <v>4.0066877717792451E-2</v>
      </c>
      <c r="M70" s="24">
        <f t="shared" si="17"/>
        <v>2.4726479955829776E-2</v>
      </c>
      <c r="N70" s="24">
        <f t="shared" si="17"/>
        <v>1.6948825410839547E-2</v>
      </c>
      <c r="O70" s="24">
        <f t="shared" si="17"/>
        <v>2.2706446239780895E-2</v>
      </c>
      <c r="Q70" s="25">
        <f t="shared" si="16"/>
        <v>0.45039734539023241</v>
      </c>
    </row>
    <row r="71" spans="2:17" x14ac:dyDescent="0.25">
      <c r="B71" s="1"/>
      <c r="C71" s="2" t="s">
        <v>15</v>
      </c>
      <c r="D71" s="23">
        <f t="shared" ref="D71:O71" si="18">D52*D55</f>
        <v>3.3685058627548427E-2</v>
      </c>
      <c r="E71" s="24">
        <f t="shared" si="18"/>
        <v>1.1929344701180403E-2</v>
      </c>
      <c r="F71" s="25">
        <f t="shared" si="18"/>
        <v>2.5488347799430378E-2</v>
      </c>
      <c r="G71" s="25">
        <f t="shared" si="18"/>
        <v>3.4761337385806189E-2</v>
      </c>
      <c r="H71" s="25">
        <f t="shared" si="18"/>
        <v>3.8481583882481032E-2</v>
      </c>
      <c r="I71" s="25">
        <f t="shared" si="18"/>
        <v>1.3005727997493716E-2</v>
      </c>
      <c r="J71" s="25">
        <f t="shared" si="18"/>
        <v>1.3191299240927344E-2</v>
      </c>
      <c r="K71" s="25">
        <f t="shared" si="18"/>
        <v>2.2734640447182625E-2</v>
      </c>
      <c r="L71" s="25">
        <f t="shared" si="18"/>
        <v>6.0100316576688677E-2</v>
      </c>
      <c r="M71" s="25">
        <f t="shared" si="18"/>
        <v>2.4726479955829776E-2</v>
      </c>
      <c r="N71" s="25">
        <f t="shared" si="18"/>
        <v>1.6948825410839547E-2</v>
      </c>
      <c r="O71" s="25">
        <f t="shared" si="18"/>
        <v>2.2706446239780895E-2</v>
      </c>
      <c r="Q71" s="25">
        <f t="shared" si="16"/>
        <v>0.317759408265189</v>
      </c>
    </row>
    <row r="72" spans="2:17" x14ac:dyDescent="0.25">
      <c r="B72" s="1"/>
      <c r="C72" s="2" t="s">
        <v>23</v>
      </c>
      <c r="D72" s="23">
        <f t="shared" ref="D72:O72" si="19">D52*D56</f>
        <v>8.4212646568871063E-2</v>
      </c>
      <c r="E72" s="24">
        <f t="shared" si="19"/>
        <v>0.10736410231062364</v>
      </c>
      <c r="F72" s="25">
        <f t="shared" si="19"/>
        <v>0.12744173899715189</v>
      </c>
      <c r="G72" s="26">
        <f t="shared" si="19"/>
        <v>0.17380668692903092</v>
      </c>
      <c r="H72" s="26">
        <f t="shared" si="19"/>
        <v>0.1154447516474431</v>
      </c>
      <c r="I72" s="26">
        <f t="shared" si="19"/>
        <v>0.26011455994987431</v>
      </c>
      <c r="J72" s="26">
        <f t="shared" si="19"/>
        <v>0.15829559089112813</v>
      </c>
      <c r="K72" s="26">
        <f t="shared" si="19"/>
        <v>0.34101960670773934</v>
      </c>
      <c r="L72" s="26">
        <f t="shared" si="19"/>
        <v>0.12020063315337735</v>
      </c>
      <c r="M72" s="26">
        <f t="shared" si="19"/>
        <v>0.37089719933744664</v>
      </c>
      <c r="N72" s="26">
        <f t="shared" si="19"/>
        <v>0.23728355575175367</v>
      </c>
      <c r="O72" s="26">
        <f t="shared" si="19"/>
        <v>0.3178902473569325</v>
      </c>
      <c r="Q72" s="25">
        <f t="shared" si="16"/>
        <v>2.4139713196013726</v>
      </c>
    </row>
    <row r="73" spans="2:17" x14ac:dyDescent="0.25">
      <c r="B73" s="1"/>
      <c r="C73" s="2" t="s">
        <v>41</v>
      </c>
      <c r="D73" s="23">
        <f t="shared" ref="D73:O73" si="20">D52*D57</f>
        <v>0.50527587941322638</v>
      </c>
      <c r="E73" s="24">
        <f t="shared" si="20"/>
        <v>0.17894017051770605</v>
      </c>
      <c r="F73" s="25">
        <f t="shared" si="20"/>
        <v>0.15293008679658227</v>
      </c>
      <c r="G73" s="26">
        <f t="shared" si="20"/>
        <v>0.34761337385806185</v>
      </c>
      <c r="H73" s="32">
        <f t="shared" si="20"/>
        <v>0.23088950329488619</v>
      </c>
      <c r="I73" s="32">
        <f t="shared" si="20"/>
        <v>0.26011455994987431</v>
      </c>
      <c r="J73" s="32">
        <f t="shared" si="20"/>
        <v>0.1846781893729828</v>
      </c>
      <c r="K73" s="32">
        <f t="shared" si="20"/>
        <v>0.22734640447182622</v>
      </c>
      <c r="L73" s="32">
        <f t="shared" si="20"/>
        <v>0.12020063315337735</v>
      </c>
      <c r="M73" s="32">
        <f t="shared" si="20"/>
        <v>0.37089719933744664</v>
      </c>
      <c r="N73" s="32">
        <f t="shared" si="20"/>
        <v>0.23728355575175367</v>
      </c>
      <c r="O73" s="32">
        <f t="shared" si="20"/>
        <v>0.3178902473569325</v>
      </c>
      <c r="Q73" s="25">
        <f t="shared" si="16"/>
        <v>3.1340598032746563</v>
      </c>
    </row>
    <row r="74" spans="2:17" x14ac:dyDescent="0.25">
      <c r="B74" s="1"/>
      <c r="C74" s="43" t="s">
        <v>25</v>
      </c>
      <c r="D74" s="23">
        <f t="shared" ref="D74:O74" si="21">D52*D58</f>
        <v>5.6141764379247373E-2</v>
      </c>
      <c r="E74" s="24">
        <f t="shared" si="21"/>
        <v>7.1576068207082427E-2</v>
      </c>
      <c r="F74" s="25">
        <f t="shared" si="21"/>
        <v>0.10195339119772151</v>
      </c>
      <c r="G74" s="26">
        <f t="shared" si="21"/>
        <v>3.4761337385806189E-2</v>
      </c>
      <c r="H74" s="32">
        <f t="shared" si="21"/>
        <v>4.6177900658977242E-2</v>
      </c>
      <c r="I74" s="23">
        <f t="shared" si="21"/>
        <v>5.2022911989974864E-2</v>
      </c>
      <c r="J74" s="23">
        <f t="shared" si="21"/>
        <v>5.2765196963709377E-2</v>
      </c>
      <c r="K74" s="23">
        <f t="shared" si="21"/>
        <v>3.7891067411971034E-2</v>
      </c>
      <c r="L74" s="23">
        <f t="shared" si="21"/>
        <v>4.0066877717792451E-2</v>
      </c>
      <c r="M74" s="23">
        <f t="shared" si="21"/>
        <v>2.4726479955829776E-2</v>
      </c>
      <c r="N74" s="23">
        <f t="shared" si="21"/>
        <v>6.7795301643358188E-2</v>
      </c>
      <c r="O74" s="23">
        <f t="shared" si="21"/>
        <v>9.0825784959123579E-2</v>
      </c>
      <c r="Q74" s="25">
        <f t="shared" si="16"/>
        <v>0.6767040824705941</v>
      </c>
    </row>
    <row r="75" spans="2:17" x14ac:dyDescent="0.25">
      <c r="B75" s="1"/>
      <c r="C75" s="2" t="s">
        <v>21</v>
      </c>
      <c r="D75" s="23">
        <f t="shared" ref="D75:O75" si="22">D52*D59</f>
        <v>2.8070882189623687E-2</v>
      </c>
      <c r="E75" s="24">
        <f t="shared" si="22"/>
        <v>1.7894017051770607E-2</v>
      </c>
      <c r="F75" s="25">
        <f t="shared" si="22"/>
        <v>5.0976695598860755E-2</v>
      </c>
      <c r="G75" s="26">
        <f t="shared" si="22"/>
        <v>2.8967781154838487E-2</v>
      </c>
      <c r="H75" s="32">
        <f t="shared" si="22"/>
        <v>3.2984214756412313E-2</v>
      </c>
      <c r="I75" s="23">
        <f t="shared" si="22"/>
        <v>2.6011455994987432E-2</v>
      </c>
      <c r="J75" s="24">
        <f t="shared" si="22"/>
        <v>2.6382598481854688E-2</v>
      </c>
      <c r="K75" s="24">
        <f t="shared" si="22"/>
        <v>2.2734640447182625E-2</v>
      </c>
      <c r="L75" s="24">
        <f t="shared" si="22"/>
        <v>4.0066877717792451E-2</v>
      </c>
      <c r="M75" s="24">
        <f t="shared" si="22"/>
        <v>1.8544859966872333E-2</v>
      </c>
      <c r="N75" s="24">
        <f t="shared" si="22"/>
        <v>1.6948825410839547E-2</v>
      </c>
      <c r="O75" s="24">
        <f t="shared" si="22"/>
        <v>2.2706446239780895E-2</v>
      </c>
      <c r="Q75" s="25">
        <f t="shared" si="16"/>
        <v>0.33228929501081583</v>
      </c>
    </row>
    <row r="76" spans="2:17" x14ac:dyDescent="0.25">
      <c r="B76" s="1"/>
      <c r="C76" s="2" t="s">
        <v>24</v>
      </c>
      <c r="D76" s="23">
        <f t="shared" ref="D76:O76" si="23">D52*D60</f>
        <v>5.6141764379247373E-2</v>
      </c>
      <c r="E76" s="24">
        <f t="shared" si="23"/>
        <v>0.17894017051770605</v>
      </c>
      <c r="F76" s="25">
        <f t="shared" si="23"/>
        <v>0.12744173899715189</v>
      </c>
      <c r="G76" s="26">
        <f t="shared" si="23"/>
        <v>5.7935562309676975E-2</v>
      </c>
      <c r="H76" s="32">
        <f t="shared" si="23"/>
        <v>0.1154447516474431</v>
      </c>
      <c r="I76" s="23">
        <f t="shared" si="23"/>
        <v>0.1560687359699246</v>
      </c>
      <c r="J76" s="24">
        <f t="shared" si="23"/>
        <v>0.13191299240927346</v>
      </c>
      <c r="K76" s="33">
        <f t="shared" si="23"/>
        <v>0.11367320223591311</v>
      </c>
      <c r="L76" s="33">
        <f t="shared" si="23"/>
        <v>0.10016719429448112</v>
      </c>
      <c r="M76" s="33">
        <f t="shared" si="23"/>
        <v>0.14835887973497866</v>
      </c>
      <c r="N76" s="33">
        <f t="shared" si="23"/>
        <v>0.13559060328671638</v>
      </c>
      <c r="O76" s="33">
        <f t="shared" si="23"/>
        <v>0.18165156991824716</v>
      </c>
      <c r="Q76" s="25">
        <f t="shared" si="16"/>
        <v>1.5033271657007599</v>
      </c>
    </row>
    <row r="77" spans="2:17" x14ac:dyDescent="0.25">
      <c r="B77" s="1"/>
      <c r="C77" s="2" t="s">
        <v>42</v>
      </c>
      <c r="D77" s="23">
        <f t="shared" ref="D77:O77" si="24">D52*D61</f>
        <v>2.8070882189623687E-2</v>
      </c>
      <c r="E77" s="24">
        <f t="shared" si="24"/>
        <v>1.7894017051770607E-2</v>
      </c>
      <c r="F77" s="25">
        <f t="shared" si="24"/>
        <v>8.4961159331434586E-3</v>
      </c>
      <c r="G77" s="26">
        <f t="shared" si="24"/>
        <v>2.8967781154838487E-2</v>
      </c>
      <c r="H77" s="32">
        <f t="shared" si="24"/>
        <v>3.8481583882481032E-2</v>
      </c>
      <c r="I77" s="23">
        <f t="shared" si="24"/>
        <v>2.6011455994987432E-2</v>
      </c>
      <c r="J77" s="24">
        <f t="shared" si="24"/>
        <v>1.3191299240927344E-2</v>
      </c>
      <c r="K77" s="33">
        <f t="shared" si="24"/>
        <v>2.2734640447182625E-2</v>
      </c>
      <c r="L77" s="26">
        <f t="shared" si="24"/>
        <v>2.0033438858896226E-2</v>
      </c>
      <c r="M77" s="26">
        <f t="shared" si="24"/>
        <v>2.4726479955829776E-2</v>
      </c>
      <c r="N77" s="26">
        <f t="shared" si="24"/>
        <v>1.6948825410839547E-2</v>
      </c>
      <c r="O77" s="26">
        <f t="shared" si="24"/>
        <v>1.5137630826520596E-2</v>
      </c>
      <c r="Q77" s="25">
        <f t="shared" si="16"/>
        <v>0.26069415094704085</v>
      </c>
    </row>
    <row r="78" spans="2:17" x14ac:dyDescent="0.25">
      <c r="C78" s="2" t="s">
        <v>26</v>
      </c>
      <c r="D78" s="23">
        <f t="shared" ref="D78:O78" si="25">D52*D62</f>
        <v>4.2106323284435532E-2</v>
      </c>
      <c r="E78" s="24">
        <f t="shared" si="25"/>
        <v>0.10736410231062364</v>
      </c>
      <c r="F78" s="25">
        <f t="shared" si="25"/>
        <v>7.6465043398291133E-2</v>
      </c>
      <c r="G78" s="26">
        <f t="shared" si="25"/>
        <v>3.4761337385806189E-2</v>
      </c>
      <c r="H78" s="32">
        <f t="shared" si="25"/>
        <v>4.6177900658977242E-2</v>
      </c>
      <c r="I78" s="23">
        <f t="shared" si="25"/>
        <v>0.1560687359699246</v>
      </c>
      <c r="J78" s="24">
        <f t="shared" si="25"/>
        <v>0.10553039392741875</v>
      </c>
      <c r="K78" s="33">
        <f t="shared" si="25"/>
        <v>5.6836601117956555E-2</v>
      </c>
      <c r="L78" s="26">
        <f t="shared" si="25"/>
        <v>6.0100316576688677E-2</v>
      </c>
      <c r="M78" s="27">
        <f t="shared" si="25"/>
        <v>7.417943986748933E-2</v>
      </c>
      <c r="N78" s="27">
        <f t="shared" si="25"/>
        <v>0.13559060328671638</v>
      </c>
      <c r="O78" s="27">
        <f t="shared" si="25"/>
        <v>9.0825784959123579E-2</v>
      </c>
      <c r="Q78" s="25">
        <f t="shared" si="16"/>
        <v>0.98600658274345165</v>
      </c>
    </row>
    <row r="79" spans="2:17" x14ac:dyDescent="0.25">
      <c r="B79" s="1"/>
      <c r="C79" s="2" t="s">
        <v>27</v>
      </c>
      <c r="D79" s="23">
        <f t="shared" ref="D79:O79" si="26">D52*D63</f>
        <v>3.3685058627548427E-2</v>
      </c>
      <c r="E79" s="24">
        <f t="shared" si="26"/>
        <v>7.1576068207082427E-2</v>
      </c>
      <c r="F79" s="25">
        <f t="shared" si="26"/>
        <v>5.0976695598860755E-2</v>
      </c>
      <c r="G79" s="26">
        <f t="shared" si="26"/>
        <v>2.4829526704147273E-2</v>
      </c>
      <c r="H79" s="32">
        <f t="shared" si="26"/>
        <v>3.2984214756412313E-2</v>
      </c>
      <c r="I79" s="23">
        <f t="shared" si="26"/>
        <v>2.6011455994987432E-2</v>
      </c>
      <c r="J79" s="24">
        <f t="shared" si="26"/>
        <v>5.2765196963709377E-2</v>
      </c>
      <c r="K79" s="33">
        <f t="shared" si="26"/>
        <v>2.8418300558978277E-2</v>
      </c>
      <c r="L79" s="26">
        <f t="shared" si="26"/>
        <v>4.0066877717792451E-2</v>
      </c>
      <c r="M79" s="27">
        <f t="shared" si="26"/>
        <v>1.8544859966872333E-2</v>
      </c>
      <c r="N79" s="23">
        <f t="shared" si="26"/>
        <v>3.3897650821679094E-2</v>
      </c>
      <c r="O79" s="23">
        <f t="shared" si="26"/>
        <v>1.5137630826520596E-2</v>
      </c>
      <c r="Q79" s="25">
        <f t="shared" si="16"/>
        <v>0.42889353674459074</v>
      </c>
    </row>
    <row r="80" spans="2:17" x14ac:dyDescent="0.25">
      <c r="B80" s="1"/>
      <c r="C80" s="2" t="s">
        <v>22</v>
      </c>
      <c r="D80" s="23">
        <f t="shared" ref="D80:O80" si="27">D52*D64</f>
        <v>5.6141764379247373E-2</v>
      </c>
      <c r="E80" s="24">
        <f t="shared" si="27"/>
        <v>7.1576068207082427E-2</v>
      </c>
      <c r="F80" s="25">
        <f t="shared" si="27"/>
        <v>5.0976695598860755E-2</v>
      </c>
      <c r="G80" s="26">
        <f t="shared" si="27"/>
        <v>2.4829526704147273E-2</v>
      </c>
      <c r="H80" s="32">
        <f t="shared" si="27"/>
        <v>3.2984214756412313E-2</v>
      </c>
      <c r="I80" s="23">
        <f t="shared" si="27"/>
        <v>2.6011455994987432E-2</v>
      </c>
      <c r="J80" s="24">
        <f t="shared" si="27"/>
        <v>5.2765196963709377E-2</v>
      </c>
      <c r="K80" s="33">
        <f t="shared" si="27"/>
        <v>2.8418300558978277E-2</v>
      </c>
      <c r="L80" s="26">
        <f t="shared" si="27"/>
        <v>6.0100316576688677E-2</v>
      </c>
      <c r="M80" s="27">
        <f t="shared" si="27"/>
        <v>3.7089719933744665E-2</v>
      </c>
      <c r="N80" s="23">
        <f t="shared" si="27"/>
        <v>0.10169295246503729</v>
      </c>
      <c r="O80" s="24">
        <f t="shared" si="27"/>
        <v>4.5412892479561789E-2</v>
      </c>
      <c r="Q80" s="25">
        <f t="shared" si="16"/>
        <v>0.58799910461845761</v>
      </c>
    </row>
    <row r="83" spans="2:8" ht="30" x14ac:dyDescent="0.25">
      <c r="B83" s="1" t="s">
        <v>12</v>
      </c>
      <c r="C83" s="19" t="s">
        <v>30</v>
      </c>
      <c r="D83" s="20" t="s">
        <v>40</v>
      </c>
      <c r="E83" s="21" t="s">
        <v>32</v>
      </c>
    </row>
    <row r="84" spans="2:8" x14ac:dyDescent="0.25">
      <c r="B84" s="1"/>
      <c r="C84" s="34">
        <v>2.3132010361183726</v>
      </c>
      <c r="D84" s="29">
        <v>0.16842529313774213</v>
      </c>
      <c r="E84" s="35">
        <f>C84/D84</f>
        <v>13.734285350042899</v>
      </c>
      <c r="H84" s="40"/>
    </row>
    <row r="85" spans="2:8" x14ac:dyDescent="0.25">
      <c r="B85" s="1"/>
      <c r="C85" s="34">
        <v>0.45039734539023241</v>
      </c>
      <c r="D85" s="29">
        <v>3.5788034103541214E-2</v>
      </c>
      <c r="E85" s="35">
        <f t="shared" ref="E85:E95" si="28">C85/D85</f>
        <v>12.585137928704102</v>
      </c>
      <c r="H85" s="41"/>
    </row>
    <row r="86" spans="2:8" x14ac:dyDescent="0.25">
      <c r="B86" s="1"/>
      <c r="C86" s="34">
        <v>0.317759408265189</v>
      </c>
      <c r="D86" s="29">
        <v>2.5488347799430378E-2</v>
      </c>
      <c r="E86" s="35">
        <f t="shared" si="28"/>
        <v>12.466849980456184</v>
      </c>
      <c r="H86" s="40"/>
    </row>
    <row r="87" spans="2:8" x14ac:dyDescent="0.25">
      <c r="B87" s="1"/>
      <c r="C87" s="34">
        <v>2.4139713196013726</v>
      </c>
      <c r="D87" s="29">
        <v>0.17380668692903092</v>
      </c>
      <c r="E87" s="35">
        <f t="shared" si="28"/>
        <v>13.888828803157901</v>
      </c>
      <c r="H87" s="40"/>
    </row>
    <row r="88" spans="2:8" x14ac:dyDescent="0.25">
      <c r="B88" s="1"/>
      <c r="C88" s="34">
        <v>3.1340598032746563</v>
      </c>
      <c r="D88" s="29">
        <v>0.23088950329488619</v>
      </c>
      <c r="E88" s="35">
        <f t="shared" si="28"/>
        <v>13.573851381506568</v>
      </c>
      <c r="H88" s="40"/>
    </row>
    <row r="89" spans="2:8" x14ac:dyDescent="0.25">
      <c r="B89" s="1"/>
      <c r="C89" s="34">
        <v>0.6767040824705941</v>
      </c>
      <c r="D89" s="29">
        <v>5.2022911989974864E-2</v>
      </c>
      <c r="E89" s="35">
        <f t="shared" si="28"/>
        <v>13.007808609425769</v>
      </c>
      <c r="H89" s="40"/>
    </row>
    <row r="90" spans="2:8" x14ac:dyDescent="0.25">
      <c r="B90" s="1"/>
      <c r="C90" s="34">
        <v>0.33228929501081583</v>
      </c>
      <c r="D90" s="29">
        <v>2.6382598481854688E-2</v>
      </c>
      <c r="E90" s="35">
        <f t="shared" si="28"/>
        <v>12.595017706059407</v>
      </c>
      <c r="H90" s="40"/>
    </row>
    <row r="91" spans="2:8" x14ac:dyDescent="0.25">
      <c r="C91" s="25">
        <v>1.5033271657007599</v>
      </c>
      <c r="D91" s="29">
        <v>0.11367320223591311</v>
      </c>
      <c r="E91" s="35">
        <f t="shared" si="28"/>
        <v>13.22499178461438</v>
      </c>
      <c r="H91" s="40"/>
    </row>
    <row r="92" spans="2:8" x14ac:dyDescent="0.25">
      <c r="C92" s="25">
        <v>0.26069415094704085</v>
      </c>
      <c r="D92" s="29">
        <v>2.0033438858896226E-2</v>
      </c>
      <c r="E92" s="35">
        <f t="shared" si="28"/>
        <v>13.01295063634443</v>
      </c>
      <c r="H92" s="40"/>
    </row>
    <row r="93" spans="2:8" x14ac:dyDescent="0.25">
      <c r="C93" s="25">
        <v>0.98600658274345165</v>
      </c>
      <c r="D93" s="29">
        <v>7.417943986748933E-2</v>
      </c>
      <c r="E93" s="35">
        <f t="shared" si="28"/>
        <v>13.292181560076587</v>
      </c>
      <c r="H93" s="40"/>
    </row>
    <row r="94" spans="2:8" x14ac:dyDescent="0.25">
      <c r="C94" s="25">
        <v>0.42889353674459074</v>
      </c>
      <c r="D94" s="29">
        <v>3.3897650821679094E-2</v>
      </c>
      <c r="E94" s="35">
        <f t="shared" si="28"/>
        <v>12.65260353883561</v>
      </c>
      <c r="H94" s="40"/>
    </row>
    <row r="95" spans="2:8" x14ac:dyDescent="0.25">
      <c r="C95" s="25">
        <v>0.58799910461845761</v>
      </c>
      <c r="D95" s="29">
        <v>4.5412892479561789E-2</v>
      </c>
      <c r="E95" s="35">
        <f t="shared" si="28"/>
        <v>12.947845259649304</v>
      </c>
      <c r="H95" s="40"/>
    </row>
    <row r="97" spans="4:6" x14ac:dyDescent="0.25">
      <c r="D97" s="8" t="s">
        <v>6</v>
      </c>
      <c r="E97" s="36">
        <f>SUM(E84:E95)</f>
        <v>156.98235253887316</v>
      </c>
    </row>
    <row r="98" spans="4:6" x14ac:dyDescent="0.25">
      <c r="D98" s="8" t="s">
        <v>34</v>
      </c>
      <c r="E98" s="36">
        <f>E97/12</f>
        <v>13.081862711572763</v>
      </c>
      <c r="F98" s="1" t="s">
        <v>33</v>
      </c>
    </row>
    <row r="99" spans="4:6" x14ac:dyDescent="0.25">
      <c r="D99" s="1"/>
      <c r="E99" s="37"/>
      <c r="F99" s="9" t="s">
        <v>19</v>
      </c>
    </row>
    <row r="100" spans="4:6" x14ac:dyDescent="0.25">
      <c r="D100" s="8" t="s">
        <v>13</v>
      </c>
      <c r="E100" s="36">
        <f>(E98-12)/(12-1)</f>
        <v>9.8351155597523873E-2</v>
      </c>
      <c r="F100" s="1"/>
    </row>
    <row r="101" spans="4:6" x14ac:dyDescent="0.25">
      <c r="D101" s="8" t="s">
        <v>14</v>
      </c>
      <c r="E101" s="36">
        <f>E100/1.48</f>
        <v>6.6453483511840453E-2</v>
      </c>
      <c r="F101" s="1" t="s">
        <v>35</v>
      </c>
    </row>
    <row r="102" spans="4:6" x14ac:dyDescent="0.25">
      <c r="E102" s="38"/>
      <c r="F102" s="9" t="s">
        <v>19</v>
      </c>
    </row>
    <row r="103" spans="4:6" x14ac:dyDescent="0.25">
      <c r="D103" s="8" t="s">
        <v>20</v>
      </c>
      <c r="E103" s="39">
        <f>E101*100</f>
        <v>6.6453483511840457</v>
      </c>
    </row>
  </sheetData>
  <sheetProtection algorithmName="SHA-512" hashValue="h7WFHCGRcPhtn7oc4Dhl9OlJmaXQO3Gs3RLYEJsJIlUgpptXydrtkJ5iNnC06uhdVxEKSH3TZTTJR7HlT5fN3Q==" saltValue="uPbKAoeXwelTrlwUWeHXJw==" spinCount="100000" sheet="1" objects="1" scenarios="1"/>
  <mergeCells count="5">
    <mergeCell ref="C2:O2"/>
    <mergeCell ref="C34:O34"/>
    <mergeCell ref="Q34:S34"/>
    <mergeCell ref="C50:O50"/>
    <mergeCell ref="C67:O6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Mewan B War</dc:creator>
  <cp:lastModifiedBy>Mewan B War</cp:lastModifiedBy>
  <dcterms:created xsi:type="dcterms:W3CDTF">2015-06-05T18:17:20Z</dcterms:created>
  <dcterms:modified xsi:type="dcterms:W3CDTF">2026-03-26T09:39:07Z</dcterms:modified>
</cp:coreProperties>
</file>